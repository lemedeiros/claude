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" sheetId="1" state="visible" r:id="rId1"/>
    <sheet name="Config" sheetId="2" state="visible" r:id="rId2"/>
    <sheet name="Planejamento" sheetId="3" state="visible" r:id="rId3"/>
    <sheet name="Orcamento" sheetId="4" state="visible" r:id="rId4"/>
    <sheet name="Despesas" sheetId="5" state="visible" r:id="rId5"/>
    <sheet name="Compras" sheetId="6" state="visible" r:id="rId6"/>
    <sheet name="Historico" sheetId="7" state="visible" r:id="rId7"/>
  </sheets>
  <definedNames>
    <definedName name="MoedaBase">Config!$B$4</definedName>
    <definedName name="TaxaCambioTbl">Config!$A$16:$D$25</definedName>
    <definedName name="ListaMoedas">Config!$A$16:$A$25</definedName>
    <definedName name="CatDespesa">Config!$F$16:$F$25</definedName>
    <definedName name="FormaPagto">Config!$H$16:$H$21</definedName>
    <definedName name="Prioridade">Config!$J$16:$J$18</definedName>
    <definedName name="StatusCompra">Config!$K$16:$K$17</definedName>
    <definedName name="StatusItem">Config!$L$16:$L$17</definedName>
    <definedName name="StatusItinerario">Config!$M$16:$M$18</definedName>
    <definedName name="CatCompras">Config!$N$16:$N$22</definedName>
    <definedName name="OrcCategoria">Orcamento!$A$4:$A$13</definedName>
    <definedName name="OrcValorBase">Orcamento!$E$4:$E$13</definedName>
    <definedName name="OrcTotal">Orcamento!$E$14</definedName>
    <definedName name="DespData">Despesas!$A$4:$A$38</definedName>
    <definedName name="DespCategoria">Despesas!$C$4:$C$38</definedName>
    <definedName name="DespValorBase">Despesas!$H$4:$H$38</definedName>
    <definedName name="DespTotal">Despesas!$H$39</definedName>
    <definedName name="ComprasTotal">Compras!$G$25</definedName>
    <definedName name="HistViagem">Historico!$A$4:$A$33</definedName>
    <definedName name="HistGasto">Historico!$I$4:$I$33</definedName>
    <definedName name="HistOrcamento">Historico!$H$4:$H$33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#,##0.0000"/>
    <numFmt numFmtId="167" formatCode="#,##0.00 &quot;R$&quot;"/>
    <numFmt numFmtId="168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7F7F7F"/>
      <sz val="9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1F4E78"/>
      <sz val="10"/>
    </font>
    <font>
      <name val="Arial"/>
      <b val="1"/>
      <color rgb="00FFFFFF"/>
      <sz val="11"/>
    </font>
    <font>
      <name val="Arial"/>
      <b val="1"/>
      <color rgb="001F4E78"/>
      <sz val="12"/>
    </font>
    <font>
      <name val="Arial"/>
      <b val="1"/>
      <color rgb="00FFFFFF"/>
      <sz val="9"/>
    </font>
    <font>
      <name val="Arial"/>
      <b val="1"/>
      <color rgb="001F4E78"/>
      <sz val="14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 wrapText="1"/>
    </xf>
    <xf numFmtId="167" fontId="10" fillId="7" borderId="1" applyAlignment="1" pivotButton="0" quotePrefix="0" xfId="0">
      <alignment horizontal="center" vertical="center"/>
    </xf>
    <xf numFmtId="168" fontId="10" fillId="7" borderId="1" applyAlignment="1" pivotButton="0" quotePrefix="0" xfId="0">
      <alignment horizontal="center" vertical="center"/>
    </xf>
    <xf numFmtId="167" fontId="0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165" fontId="5" fillId="0" borderId="1" pivotButton="0" quotePrefix="0" xfId="0"/>
    <xf numFmtId="167" fontId="5" fillId="0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/>
    </xf>
    <xf numFmtId="165" fontId="4" fillId="3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6" fontId="4" fillId="3" borderId="1" pivotButton="0" quotePrefix="0" xfId="0"/>
    <xf numFmtId="0" fontId="2" fillId="0" borderId="1" pivotButton="0" quotePrefix="0" xfId="0"/>
    <xf numFmtId="165" fontId="4" fillId="6" borderId="1" pivotButton="0" quotePrefix="0" xfId="0"/>
    <xf numFmtId="0" fontId="5" fillId="6" borderId="1" pivotButton="0" quotePrefix="0" xfId="0"/>
    <xf numFmtId="4" fontId="4" fillId="6" borderId="1" pivotButton="0" quotePrefix="0" xfId="0"/>
    <xf numFmtId="0" fontId="4" fillId="6" borderId="1" pivotButton="0" quotePrefix="0" xfId="0"/>
    <xf numFmtId="166" fontId="0" fillId="0" borderId="1" pivotButton="0" quotePrefix="0" xfId="0"/>
    <xf numFmtId="165" fontId="4" fillId="3" borderId="1" pivotButton="0" quotePrefix="0" xfId="0"/>
    <xf numFmtId="4" fontId="4" fillId="3" borderId="1" pivotButton="0" quotePrefix="0" xfId="0"/>
    <xf numFmtId="0" fontId="4" fillId="3" borderId="1" pivotButton="0" quotePrefix="0" xfId="0"/>
    <xf numFmtId="166" fontId="5" fillId="0" borderId="1" pivotButton="0" quotePrefix="0" xfId="0"/>
    <xf numFmtId="168" fontId="5" fillId="0" borderId="1" pivotButton="0" quotePrefix="0" xfId="0"/>
    <xf numFmtId="0" fontId="3" fillId="5" borderId="1" pivotButton="0" quotePrefix="0" xfId="0"/>
    <xf numFmtId="0" fontId="0" fillId="5" borderId="1" pivotButton="0" quotePrefix="0" xfId="0"/>
    <xf numFmtId="167" fontId="3" fillId="5" borderId="1" pivotButton="0" quotePrefix="0" xfId="0"/>
    <xf numFmtId="168" fontId="3" fillId="5" borderId="1" pivotButton="0" quotePrefix="0" xfId="0"/>
    <xf numFmtId="0" fontId="0" fillId="6" borderId="1" pivotButton="0" quotePrefix="0" xfId="0"/>
    <xf numFmtId="0" fontId="0" fillId="0" borderId="1" pivotButton="0" quotePrefix="0" xfId="0"/>
    <xf numFmtId="167" fontId="3" fillId="0" borderId="0" pivotButton="0" quotePrefix="0" xfId="0"/>
    <xf numFmtId="167" fontId="4" fillId="6" borderId="1" pivotButton="0" quotePrefix="0" xfId="0"/>
    <xf numFmtId="165" fontId="5" fillId="3" borderId="1" pivotButton="0" quotePrefix="0" xfId="0"/>
    <xf numFmtId="167" fontId="5" fillId="3" borderId="1" pivotButton="0" quotePrefix="0" xfId="0"/>
    <xf numFmtId="0" fontId="3" fillId="5" borderId="0" pivotButton="0" quotePrefix="0" xfId="0"/>
    <xf numFmtId="0" fontId="0" fillId="5" borderId="0" pivotButton="0" quotePrefix="0" xfId="0"/>
    <xf numFmtId="167" fontId="3" fillId="5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name val="Arial"/>
        <b val="1"/>
        <color rgb="009C0006"/>
      </font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Orçamento vs Gasto por Categoria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'Painel'!B15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'Painel'!$A$16:$A$25</f>
            </numRef>
          </cat>
          <val>
            <numRef>
              <f>'Painel'!$B$16:$B$25</f>
            </numRef>
          </val>
        </ser>
        <ser>
          <idx val="1"/>
          <order val="1"/>
          <tx>
            <strRef>
              <f>'Painel'!C15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'Painel'!$A$16:$A$25</f>
            </numRef>
          </cat>
          <val>
            <numRef>
              <f>'Painel'!$C$16:$C$25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(BRL)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Distribuição do Gasto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'Painel'!C15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A9D18E"/>
              </a:solidFill>
              <a:ln>
                <a:prstDash val="solid"/>
              </a:ln>
            </spPr>
          </dPt>
          <dPt>
            <idx val="3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4"/>
            <spPr>
              <a:solidFill>
                <a:srgbClr val="9E480E"/>
              </a:solidFill>
              <a:ln>
                <a:prstDash val="solid"/>
              </a:ln>
            </spPr>
          </dPt>
          <dPt>
            <idx val="5"/>
            <spPr>
              <a:solidFill>
                <a:srgbClr val="636363"/>
              </a:solidFill>
              <a:ln>
                <a:prstDash val="solid"/>
              </a:ln>
            </spPr>
          </dPt>
          <dPt>
            <idx val="6"/>
            <spPr>
              <a:solidFill>
                <a:srgbClr val="997300"/>
              </a:solidFill>
              <a:ln>
                <a:prstDash val="solid"/>
              </a:ln>
            </spPr>
          </dPt>
          <dPt>
            <idx val="7"/>
            <spPr>
              <a:solidFill>
                <a:srgbClr val="255E91"/>
              </a:solidFill>
              <a:ln>
                <a:prstDash val="solid"/>
              </a:ln>
            </spPr>
          </dPt>
          <dPt>
            <idx val="8"/>
            <spPr>
              <a:solidFill>
                <a:srgbClr val="43682B"/>
              </a:solidFill>
              <a:ln>
                <a:prstDash val="solid"/>
              </a:ln>
            </spPr>
          </dPt>
          <dPt>
            <idx val="9"/>
            <spPr>
              <a:solidFill>
                <a:srgbClr val="698ED0"/>
              </a:solidFill>
              <a:ln>
                <a:prstDash val="solid"/>
              </a:ln>
            </spPr>
          </dPt>
          <cat>
            <numRef>
              <f>'Painel'!$A$16:$A$25</f>
            </numRef>
          </cat>
          <val>
            <numRef>
              <f>'Painel'!$C$16:$C$25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Gasto Acumulado por Dia</a:t>
            </a:r>
          </a:p>
        </rich>
      </tx>
    </title>
    <plotArea>
      <lineChart>
        <grouping val="standard"/>
        <ser>
          <idx val="0"/>
          <order val="0"/>
          <tx>
            <strRef>
              <f>'Painel'!H15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'Painel'!$G$16:$G$30</f>
            </numRef>
          </cat>
          <val>
            <numRef>
              <f>'Painel'!$H$16:$H$30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Acumulado (BRL)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Histórico de Viagens — Orçamento vs Gasto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'Historico'!H3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'Historico'!$A$4:$A$33</f>
            </numRef>
          </cat>
          <val>
            <numRef>
              <f>'Historico'!$H$4:$H$33</f>
            </numRef>
          </val>
        </ser>
        <ser>
          <idx val="1"/>
          <order val="1"/>
          <tx>
            <strRef>
              <f>'Historico'!I3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'Historico'!$A$4:$A$33</f>
            </numRef>
          </cat>
          <val>
            <numRef>
              <f>'Historico'!$I$4:$I$33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32</row>
      <rowOff>0</rowOff>
    </from>
    <ext cx="50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51</row>
      <rowOff>0</rowOff>
    </from>
    <ext cx="504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30"/>
  <sheetViews>
    <sheetView showGridLines="0" tabSelected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3" customWidth="1" min="6" max="6"/>
    <col width="14" customWidth="1" min="7" max="7"/>
    <col width="14" customWidth="1" min="8" max="8"/>
    <col width="4" customWidth="1" min="9" max="9"/>
    <col width="12" customWidth="1" min="10" max="10"/>
    <col width="14" customWidth="1" min="11" max="11"/>
  </cols>
  <sheetData>
    <row r="1" ht="28" customHeight="1">
      <c r="A1" s="1" t="inlineStr">
        <is>
          <t>PAINEL FINANCEIRO DA VIAGEM</t>
        </is>
      </c>
    </row>
    <row r="3">
      <c r="A3" s="2" t="inlineStr">
        <is>
          <t>Viagem:</t>
        </is>
      </c>
      <c r="B3" s="3">
        <f>Config!B5</f>
        <v/>
      </c>
      <c r="F3" s="4" t="inlineStr">
        <is>
          <t>COMO USAR</t>
        </is>
      </c>
    </row>
    <row r="4" ht="26" customHeight="1">
      <c r="A4" s="2" t="inlineStr">
        <is>
          <t>Destino:</t>
        </is>
      </c>
      <c r="B4" s="5">
        <f>Config!B6</f>
        <v/>
      </c>
      <c r="F4" s="6" t="inlineStr">
        <is>
          <t>Células AZUIS = você edita. Células pretas = fórmulas (não mexa).</t>
        </is>
      </c>
    </row>
    <row r="5" ht="26" customHeight="1">
      <c r="A5" s="2" t="inlineStr">
        <is>
          <t>Período:</t>
        </is>
      </c>
      <c r="B5" s="5">
        <f>TEXT(Config!B7,"dd/mm/yyyy")&amp;" a "&amp;TEXT(Config!B8,"dd/mm/yyyy")&amp;"  ("&amp;Config!B9&amp;" dias)"</f>
        <v/>
      </c>
      <c r="F5" s="6" t="inlineStr">
        <is>
          <t>Ajuste tudo na aba Config primeiro (moeda, datas, câmbio).</t>
        </is>
      </c>
    </row>
    <row r="6" ht="26" customHeight="1">
      <c r="A6" s="2" t="inlineStr">
        <is>
          <t>Moeda Base / Viajantes:</t>
        </is>
      </c>
      <c r="B6" s="5">
        <f>Config!B4&amp;" / "&amp;Config!B10&amp;" pessoa(s)"</f>
        <v/>
      </c>
      <c r="F6" s="6" t="inlineStr">
        <is>
          <t>Ao abrir no Excel/Google Sheets os valores recalculam sozinhos.</t>
        </is>
      </c>
    </row>
    <row r="7" ht="30" customHeight="1">
      <c r="F7" s="6" t="inlineStr">
        <is>
          <t>Fim da viagem: rode a macro "Arquivar Viagem" (veja instruções em anexo) para salvar o resumo na aba Historico e limpar tudo para a próxima viagem.</t>
        </is>
      </c>
    </row>
    <row r="8" ht="28" customHeight="1">
      <c r="A8" s="7" t="inlineStr">
        <is>
          <t>ORÇAMENTO TOTAL</t>
        </is>
      </c>
      <c r="B8" s="7" t="inlineStr">
        <is>
          <t>TOTAL GASTO</t>
        </is>
      </c>
      <c r="C8" s="7" t="inlineStr">
        <is>
          <t>SALDO DISPONÍVEL</t>
        </is>
      </c>
      <c r="D8" s="7" t="inlineStr">
        <is>
          <t>% ORÇAMENTO USADO</t>
        </is>
      </c>
    </row>
    <row r="9" ht="26" customHeight="1">
      <c r="A9" s="8">
        <f>OrcTotal</f>
        <v/>
      </c>
      <c r="B9" s="8">
        <f>DespTotal</f>
        <v/>
      </c>
      <c r="C9" s="8">
        <f>OrcTotal-DespTotal</f>
        <v/>
      </c>
      <c r="D9" s="9">
        <f>IFERROR(DespTotal/OrcTotal,0)</f>
        <v/>
      </c>
    </row>
    <row r="11">
      <c r="A11" s="2" t="inlineStr">
        <is>
          <t>Gasto médio por dia:</t>
        </is>
      </c>
      <c r="B11" s="10">
        <f>IFERROR(DespTotal/Config!B9,0)</f>
        <v/>
      </c>
    </row>
    <row r="12">
      <c r="A12" s="2" t="inlineStr">
        <is>
          <t>Gasto médio por pessoa/dia:</t>
        </is>
      </c>
      <c r="B12" s="10">
        <f>IFERROR(DespTotal/Config!B9/Config!B10,0)</f>
        <v/>
      </c>
    </row>
    <row r="14">
      <c r="A14" s="4" t="inlineStr">
        <is>
          <t>RESUMO POR CATEGORIA</t>
        </is>
      </c>
      <c r="G14" s="4" t="inlineStr">
        <is>
          <t>GASTO ACUMULADO POR DIA</t>
        </is>
      </c>
    </row>
    <row r="15" ht="30" customHeight="1">
      <c r="A15" s="11" t="inlineStr">
        <is>
          <t>Categoria</t>
        </is>
      </c>
      <c r="B15" s="11" t="inlineStr">
        <is>
          <t>Orçamento</t>
        </is>
      </c>
      <c r="C15" s="11" t="inlineStr">
        <is>
          <t>Gasto Real</t>
        </is>
      </c>
      <c r="D15" s="11" t="inlineStr">
        <is>
          <t>Saldo</t>
        </is>
      </c>
      <c r="E15" s="11" t="inlineStr">
        <is>
          <t>% Usado</t>
        </is>
      </c>
      <c r="G15" s="11" t="inlineStr">
        <is>
          <t>Data</t>
        </is>
      </c>
      <c r="H15" s="11" t="inlineStr">
        <is>
          <t>Acumulado</t>
        </is>
      </c>
    </row>
    <row r="16">
      <c r="A16" s="12">
        <f>Orcamento!A4</f>
        <v/>
      </c>
      <c r="B16" s="13">
        <f>Orcamento!E4</f>
        <v/>
      </c>
      <c r="C16" s="13">
        <f>SUMIFS(DespValorBase,DespCategoria,A16)</f>
        <v/>
      </c>
      <c r="D16" s="13">
        <f>B16-C16</f>
        <v/>
      </c>
      <c r="E16" s="14">
        <f>IFERROR(C16/B16,0)</f>
        <v/>
      </c>
      <c r="G16" s="15">
        <f>Config!B7</f>
        <v/>
      </c>
      <c r="H16" s="16">
        <f>IF(G16="","",SUMIFS(DespValorBase,DespData,"&lt;="&amp;G16))</f>
        <v/>
      </c>
    </row>
    <row r="17">
      <c r="A17" s="12">
        <f>Orcamento!A5</f>
        <v/>
      </c>
      <c r="B17" s="13">
        <f>Orcamento!E5</f>
        <v/>
      </c>
      <c r="C17" s="13">
        <f>SUMIFS(DespValorBase,DespCategoria,A17)</f>
        <v/>
      </c>
      <c r="D17" s="13">
        <f>B17-C17</f>
        <v/>
      </c>
      <c r="E17" s="14">
        <f>IFERROR(C17/B17,0)</f>
        <v/>
      </c>
      <c r="G17" s="15">
        <f>IF(G16="","",IF(G16&gt;=Config!$B$8,"",G16+1))</f>
        <v/>
      </c>
      <c r="H17" s="16">
        <f>IF(G17="","",SUMIFS(DespValorBase,DespData,"&lt;="&amp;G17))</f>
        <v/>
      </c>
    </row>
    <row r="18">
      <c r="A18" s="12">
        <f>Orcamento!A6</f>
        <v/>
      </c>
      <c r="B18" s="13">
        <f>Orcamento!E6</f>
        <v/>
      </c>
      <c r="C18" s="13">
        <f>SUMIFS(DespValorBase,DespCategoria,A18)</f>
        <v/>
      </c>
      <c r="D18" s="13">
        <f>B18-C18</f>
        <v/>
      </c>
      <c r="E18" s="14">
        <f>IFERROR(C18/B18,0)</f>
        <v/>
      </c>
      <c r="G18" s="15">
        <f>IF(G17="","",IF(G17&gt;=Config!$B$8,"",G17+1))</f>
        <v/>
      </c>
      <c r="H18" s="16">
        <f>IF(G18="","",SUMIFS(DespValorBase,DespData,"&lt;="&amp;G18))</f>
        <v/>
      </c>
    </row>
    <row r="19">
      <c r="A19" s="12">
        <f>Orcamento!A7</f>
        <v/>
      </c>
      <c r="B19" s="13">
        <f>Orcamento!E7</f>
        <v/>
      </c>
      <c r="C19" s="13">
        <f>SUMIFS(DespValorBase,DespCategoria,A19)</f>
        <v/>
      </c>
      <c r="D19" s="13">
        <f>B19-C19</f>
        <v/>
      </c>
      <c r="E19" s="14">
        <f>IFERROR(C19/B19,0)</f>
        <v/>
      </c>
      <c r="G19" s="15">
        <f>IF(G18="","",IF(G18&gt;=Config!$B$8,"",G18+1))</f>
        <v/>
      </c>
      <c r="H19" s="16">
        <f>IF(G19="","",SUMIFS(DespValorBase,DespData,"&lt;="&amp;G19))</f>
        <v/>
      </c>
    </row>
    <row r="20">
      <c r="A20" s="12">
        <f>Orcamento!A8</f>
        <v/>
      </c>
      <c r="B20" s="13">
        <f>Orcamento!E8</f>
        <v/>
      </c>
      <c r="C20" s="13">
        <f>SUMIFS(DespValorBase,DespCategoria,A20)</f>
        <v/>
      </c>
      <c r="D20" s="13">
        <f>B20-C20</f>
        <v/>
      </c>
      <c r="E20" s="14">
        <f>IFERROR(C20/B20,0)</f>
        <v/>
      </c>
      <c r="G20" s="15">
        <f>IF(G19="","",IF(G19&gt;=Config!$B$8,"",G19+1))</f>
        <v/>
      </c>
      <c r="H20" s="16">
        <f>IF(G20="","",SUMIFS(DespValorBase,DespData,"&lt;="&amp;G20))</f>
        <v/>
      </c>
    </row>
    <row r="21">
      <c r="A21" s="12">
        <f>Orcamento!A9</f>
        <v/>
      </c>
      <c r="B21" s="13">
        <f>Orcamento!E9</f>
        <v/>
      </c>
      <c r="C21" s="13">
        <f>SUMIFS(DespValorBase,DespCategoria,A21)</f>
        <v/>
      </c>
      <c r="D21" s="13">
        <f>B21-C21</f>
        <v/>
      </c>
      <c r="E21" s="14">
        <f>IFERROR(C21/B21,0)</f>
        <v/>
      </c>
      <c r="G21" s="15">
        <f>IF(G20="","",IF(G20&gt;=Config!$B$8,"",G20+1))</f>
        <v/>
      </c>
      <c r="H21" s="16">
        <f>IF(G21="","",SUMIFS(DespValorBase,DespData,"&lt;="&amp;G21))</f>
        <v/>
      </c>
    </row>
    <row r="22">
      <c r="A22" s="12">
        <f>Orcamento!A10</f>
        <v/>
      </c>
      <c r="B22" s="13">
        <f>Orcamento!E10</f>
        <v/>
      </c>
      <c r="C22" s="13">
        <f>SUMIFS(DespValorBase,DespCategoria,A22)</f>
        <v/>
      </c>
      <c r="D22" s="13">
        <f>B22-C22</f>
        <v/>
      </c>
      <c r="E22" s="14">
        <f>IFERROR(C22/B22,0)</f>
        <v/>
      </c>
      <c r="G22" s="15">
        <f>IF(G21="","",IF(G21&gt;=Config!$B$8,"",G21+1))</f>
        <v/>
      </c>
      <c r="H22" s="16">
        <f>IF(G22="","",SUMIFS(DespValorBase,DespData,"&lt;="&amp;G22))</f>
        <v/>
      </c>
    </row>
    <row r="23">
      <c r="A23" s="12">
        <f>Orcamento!A11</f>
        <v/>
      </c>
      <c r="B23" s="13">
        <f>Orcamento!E11</f>
        <v/>
      </c>
      <c r="C23" s="13">
        <f>SUMIFS(DespValorBase,DespCategoria,A23)</f>
        <v/>
      </c>
      <c r="D23" s="13">
        <f>B23-C23</f>
        <v/>
      </c>
      <c r="E23" s="14">
        <f>IFERROR(C23/B23,0)</f>
        <v/>
      </c>
      <c r="G23" s="15">
        <f>IF(G22="","",IF(G22&gt;=Config!$B$8,"",G22+1))</f>
        <v/>
      </c>
      <c r="H23" s="16">
        <f>IF(G23="","",SUMIFS(DespValorBase,DespData,"&lt;="&amp;G23))</f>
        <v/>
      </c>
    </row>
    <row r="24">
      <c r="A24" s="12">
        <f>Orcamento!A12</f>
        <v/>
      </c>
      <c r="B24" s="13">
        <f>Orcamento!E12</f>
        <v/>
      </c>
      <c r="C24" s="13">
        <f>SUMIFS(DespValorBase,DespCategoria,A24)</f>
        <v/>
      </c>
      <c r="D24" s="13">
        <f>B24-C24</f>
        <v/>
      </c>
      <c r="E24" s="14">
        <f>IFERROR(C24/B24,0)</f>
        <v/>
      </c>
      <c r="G24" s="15">
        <f>IF(G23="","",IF(G23&gt;=Config!$B$8,"",G23+1))</f>
        <v/>
      </c>
      <c r="H24" s="16">
        <f>IF(G24="","",SUMIFS(DespValorBase,DespData,"&lt;="&amp;G24))</f>
        <v/>
      </c>
    </row>
    <row r="25">
      <c r="A25" s="12">
        <f>Orcamento!A13</f>
        <v/>
      </c>
      <c r="B25" s="13">
        <f>Orcamento!E13</f>
        <v/>
      </c>
      <c r="C25" s="13">
        <f>SUMIFS(DespValorBase,DespCategoria,A25)</f>
        <v/>
      </c>
      <c r="D25" s="13">
        <f>B25-C25</f>
        <v/>
      </c>
      <c r="E25" s="14">
        <f>IFERROR(C25/B25,0)</f>
        <v/>
      </c>
      <c r="G25" s="15">
        <f>IF(G24="","",IF(G24&gt;=Config!$B$8,"",G24+1))</f>
        <v/>
      </c>
      <c r="H25" s="16">
        <f>IF(G25="","",SUMIFS(DespValorBase,DespData,"&lt;="&amp;G25))</f>
        <v/>
      </c>
    </row>
    <row r="26">
      <c r="G26" s="15">
        <f>IF(G25="","",IF(G25&gt;=Config!$B$8,"",G25+1))</f>
        <v/>
      </c>
      <c r="H26" s="16">
        <f>IF(G26="","",SUMIFS(DespValorBase,DespData,"&lt;="&amp;G26))</f>
        <v/>
      </c>
    </row>
    <row r="27">
      <c r="G27" s="15">
        <f>IF(G26="","",IF(G26&gt;=Config!$B$8,"",G26+1))</f>
        <v/>
      </c>
      <c r="H27" s="16">
        <f>IF(G27="","",SUMIFS(DespValorBase,DespData,"&lt;="&amp;G27))</f>
        <v/>
      </c>
    </row>
    <row r="28">
      <c r="G28" s="15">
        <f>IF(G27="","",IF(G27&gt;=Config!$B$8,"",G27+1))</f>
        <v/>
      </c>
      <c r="H28" s="16">
        <f>IF(G28="","",SUMIFS(DespValorBase,DespData,"&lt;="&amp;G28))</f>
        <v/>
      </c>
    </row>
    <row r="29">
      <c r="G29" s="15">
        <f>IF(G28="","",IF(G28&gt;=Config!$B$8,"",G28+1))</f>
        <v/>
      </c>
      <c r="H29" s="16">
        <f>IF(G29="","",SUMIFS(DespValorBase,DespData,"&lt;="&amp;G29))</f>
        <v/>
      </c>
    </row>
    <row r="30">
      <c r="G30" s="15">
        <f>IF(G29="","",IF(G29&gt;=Config!$B$8,"",G29+1))</f>
        <v/>
      </c>
      <c r="H30" s="16">
        <f>IF(G30="","",SUMIFS(DespValorBase,DespData,"&lt;="&amp;G30))</f>
        <v/>
      </c>
    </row>
  </sheetData>
  <mergeCells count="12">
    <mergeCell ref="B3:D3"/>
    <mergeCell ref="B5:D5"/>
    <mergeCell ref="F6:H6"/>
    <mergeCell ref="F5:H5"/>
    <mergeCell ref="F7:H7"/>
    <mergeCell ref="A14:E14"/>
    <mergeCell ref="B4:D4"/>
    <mergeCell ref="F4:H4"/>
    <mergeCell ref="G14:H14"/>
    <mergeCell ref="A1:H1"/>
    <mergeCell ref="F3:H3"/>
    <mergeCell ref="B6:D6"/>
  </mergeCells>
  <conditionalFormatting sqref="E16:E25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N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16" customWidth="1" min="4" max="4"/>
    <col width="3" customWidth="1" min="5" max="5"/>
    <col width="26" customWidth="1" min="6" max="6"/>
    <col width="3" customWidth="1" min="7" max="7"/>
    <col width="24" customWidth="1" min="8" max="8"/>
    <col width="3" customWidth="1" min="9" max="9"/>
    <col width="12" customWidth="1" min="10" max="10"/>
    <col width="14" customWidth="1" min="11" max="11"/>
    <col width="14" customWidth="1" min="12" max="12"/>
    <col width="16" customWidth="1" min="13" max="13"/>
    <col width="20" customWidth="1" min="14" max="14"/>
  </cols>
  <sheetData>
    <row r="1" ht="28" customHeight="1">
      <c r="A1" s="1" t="inlineStr">
        <is>
          <t>CONFIGURAÇÕES DA VIAGEM</t>
        </is>
      </c>
    </row>
    <row r="2">
      <c r="A2" s="17" t="inlineStr">
        <is>
          <t>Preencha as células em azul. Todas as outras planilhas usam estes dados automaticamente.</t>
        </is>
      </c>
    </row>
    <row r="4">
      <c r="A4" s="2" t="inlineStr">
        <is>
          <t>Moeda Base (moeda dos seus totais):</t>
        </is>
      </c>
      <c r="B4" s="18" t="inlineStr">
        <is>
          <t>BRL</t>
        </is>
      </c>
    </row>
    <row r="5">
      <c r="A5" s="2" t="inlineStr">
        <is>
          <t>Nome da Viagem:</t>
        </is>
      </c>
      <c r="B5" s="18" t="inlineStr">
        <is>
          <t>Viagem para Lisboa e Porto</t>
        </is>
      </c>
    </row>
    <row r="6">
      <c r="A6" s="2" t="inlineStr">
        <is>
          <t>Destino:</t>
        </is>
      </c>
      <c r="B6" s="18" t="inlineStr">
        <is>
          <t>Lisboa e Porto, Portugal</t>
        </is>
      </c>
    </row>
    <row r="7">
      <c r="A7" s="2" t="inlineStr">
        <is>
          <t>Data de Início:</t>
        </is>
      </c>
      <c r="B7" s="19" t="n">
        <v>46275</v>
      </c>
    </row>
    <row r="8">
      <c r="A8" s="2" t="inlineStr">
        <is>
          <t>Data de Fim:</t>
        </is>
      </c>
      <c r="B8" s="19" t="n">
        <v>46285</v>
      </c>
    </row>
    <row r="9">
      <c r="A9" s="2" t="inlineStr">
        <is>
          <t>Número de Dias:</t>
        </is>
      </c>
      <c r="B9" s="20">
        <f>B8-B7+1</f>
        <v/>
      </c>
    </row>
    <row r="10">
      <c r="A10" s="2" t="inlineStr">
        <is>
          <t>Número de Viajantes:</t>
        </is>
      </c>
      <c r="B10" s="18" t="n">
        <v>2</v>
      </c>
    </row>
    <row r="11">
      <c r="A11" s="2" t="inlineStr">
        <is>
          <t>Moeda Local do Destino:</t>
        </is>
      </c>
      <c r="B11" s="18" t="inlineStr">
        <is>
          <t>EUR</t>
        </is>
      </c>
    </row>
    <row r="13">
      <c r="A13" s="4" t="inlineStr">
        <is>
          <t>TABELA DE CÂMBIO</t>
        </is>
      </c>
    </row>
    <row r="14">
      <c r="A14" s="17" t="inlineStr">
        <is>
          <t>Exemplo — atualize as taxas com a cotação do dia da sua viagem (ex.: Google "câmbio USD BRL").</t>
        </is>
      </c>
    </row>
    <row r="15" ht="30" customHeight="1">
      <c r="A15" s="11" t="inlineStr">
        <is>
          <t>Código</t>
        </is>
      </c>
      <c r="B15" s="11" t="inlineStr">
        <is>
          <t>Nome da Moeda</t>
        </is>
      </c>
      <c r="C15" s="11" t="inlineStr">
        <is>
          <t>Taxa p/ Moeda Base</t>
        </is>
      </c>
      <c r="D15" s="11" t="inlineStr">
        <is>
          <t>Atualizado em</t>
        </is>
      </c>
      <c r="F15" s="4" t="inlineStr">
        <is>
          <t>Categorias de Despesa</t>
        </is>
      </c>
      <c r="H15" s="4" t="inlineStr">
        <is>
          <t>Formas de Pagamento</t>
        </is>
      </c>
      <c r="J15" s="4" t="inlineStr">
        <is>
          <t>Prioridade</t>
        </is>
      </c>
      <c r="K15" s="4" t="inlineStr">
        <is>
          <t>Comprado?</t>
        </is>
      </c>
      <c r="L15" s="4" t="inlineStr">
        <is>
          <t>Status Item</t>
        </is>
      </c>
      <c r="M15" s="4" t="inlineStr">
        <is>
          <t>Status Itinerário</t>
        </is>
      </c>
      <c r="N15" s="4" t="inlineStr">
        <is>
          <t>Categorias de Compras</t>
        </is>
      </c>
    </row>
    <row r="16">
      <c r="A16" s="12" t="inlineStr">
        <is>
          <t>BRL</t>
        </is>
      </c>
      <c r="B16" s="12" t="inlineStr">
        <is>
          <t>Real Brasileiro</t>
        </is>
      </c>
      <c r="C16" s="21" t="n">
        <v>1</v>
      </c>
      <c r="D16" s="22" t="inlineStr">
        <is>
          <t>Exemplo (03/08/2026)</t>
        </is>
      </c>
      <c r="F16" s="5" t="inlineStr">
        <is>
          <t>Hospedagem</t>
        </is>
      </c>
      <c r="H16" s="5" t="inlineStr">
        <is>
          <t>Cartão de Crédito</t>
        </is>
      </c>
      <c r="J16" s="5" t="inlineStr">
        <is>
          <t>Alta</t>
        </is>
      </c>
      <c r="K16" s="5" t="inlineStr">
        <is>
          <t>Sim</t>
        </is>
      </c>
      <c r="L16" s="5" t="inlineStr">
        <is>
          <t>Pendente</t>
        </is>
      </c>
      <c r="M16" s="5" t="inlineStr">
        <is>
          <t>Confirmado</t>
        </is>
      </c>
      <c r="N16" s="5" t="inlineStr">
        <is>
          <t>Roupas e Calçados</t>
        </is>
      </c>
    </row>
    <row r="17">
      <c r="A17" s="12" t="inlineStr">
        <is>
          <t>USD</t>
        </is>
      </c>
      <c r="B17" s="12" t="inlineStr">
        <is>
          <t>Dólar Americano</t>
        </is>
      </c>
      <c r="C17" s="21" t="n">
        <v>5.4</v>
      </c>
      <c r="D17" s="22" t="inlineStr">
        <is>
          <t>Exemplo (03/08/2026)</t>
        </is>
      </c>
      <c r="F17" s="5" t="inlineStr">
        <is>
          <t>Passagens Aéreas</t>
        </is>
      </c>
      <c r="H17" s="5" t="inlineStr">
        <is>
          <t>Cartão de Débito</t>
        </is>
      </c>
      <c r="J17" s="5" t="inlineStr">
        <is>
          <t>Média</t>
        </is>
      </c>
      <c r="K17" s="5" t="inlineStr">
        <is>
          <t>Não</t>
        </is>
      </c>
      <c r="L17" s="5" t="inlineStr">
        <is>
          <t>Feito</t>
        </is>
      </c>
      <c r="M17" s="5" t="inlineStr">
        <is>
          <t>Pendente</t>
        </is>
      </c>
      <c r="N17" s="5" t="inlineStr">
        <is>
          <t>Eletrônicos</t>
        </is>
      </c>
    </row>
    <row r="18">
      <c r="A18" s="12" t="inlineStr">
        <is>
          <t>EUR</t>
        </is>
      </c>
      <c r="B18" s="12" t="inlineStr">
        <is>
          <t>Euro</t>
        </is>
      </c>
      <c r="C18" s="21" t="n">
        <v>5.9</v>
      </c>
      <c r="D18" s="22" t="inlineStr">
        <is>
          <t>Exemplo (03/08/2026)</t>
        </is>
      </c>
      <c r="F18" s="5" t="inlineStr">
        <is>
          <t>Transporte Local</t>
        </is>
      </c>
      <c r="H18" s="5" t="inlineStr">
        <is>
          <t>Dinheiro</t>
        </is>
      </c>
      <c r="J18" s="5" t="inlineStr">
        <is>
          <t>Baixa</t>
        </is>
      </c>
      <c r="M18" s="5" t="inlineStr">
        <is>
          <t>Cancelado</t>
        </is>
      </c>
      <c r="N18" s="5" t="inlineStr">
        <is>
          <t>Presentes/Souvenirs</t>
        </is>
      </c>
    </row>
    <row r="19">
      <c r="A19" s="12" t="inlineStr">
        <is>
          <t>GBP</t>
        </is>
      </c>
      <c r="B19" s="12" t="inlineStr">
        <is>
          <t>Libra Esterlina</t>
        </is>
      </c>
      <c r="C19" s="21" t="n">
        <v>6.9</v>
      </c>
      <c r="D19" s="22" t="inlineStr">
        <is>
          <t>Exemplo (03/08/2026)</t>
        </is>
      </c>
      <c r="F19" s="5" t="inlineStr">
        <is>
          <t>Alimentação</t>
        </is>
      </c>
      <c r="H19" s="5" t="inlineStr">
        <is>
          <t>Pix</t>
        </is>
      </c>
      <c r="N19" s="5" t="inlineStr">
        <is>
          <t>Cosméticos/Perfumes</t>
        </is>
      </c>
    </row>
    <row r="20">
      <c r="A20" s="12" t="inlineStr">
        <is>
          <t>ARS</t>
        </is>
      </c>
      <c r="B20" s="12" t="inlineStr">
        <is>
          <t>Peso Argentino</t>
        </is>
      </c>
      <c r="C20" s="21" t="n">
        <v>0.0055</v>
      </c>
      <c r="D20" s="22" t="inlineStr">
        <is>
          <t>Exemplo (03/08/2026)</t>
        </is>
      </c>
      <c r="F20" s="5" t="inlineStr">
        <is>
          <t>Passeios e Atividades</t>
        </is>
      </c>
      <c r="H20" s="5" t="inlineStr">
        <is>
          <t>Transferência Bancária</t>
        </is>
      </c>
      <c r="N20" s="5" t="inlineStr">
        <is>
          <t>Alimentos e Bebidas</t>
        </is>
      </c>
    </row>
    <row r="21">
      <c r="A21" s="12" t="inlineStr">
        <is>
          <t>JPY</t>
        </is>
      </c>
      <c r="B21" s="12" t="inlineStr">
        <is>
          <t>Iene Japonês</t>
        </is>
      </c>
      <c r="C21" s="21" t="n">
        <v>0.036</v>
      </c>
      <c r="D21" s="22" t="inlineStr">
        <is>
          <t>Exemplo (03/08/2026)</t>
        </is>
      </c>
      <c r="F21" s="5" t="inlineStr">
        <is>
          <t>Compras e Presentes</t>
        </is>
      </c>
      <c r="H21" s="5" t="inlineStr">
        <is>
          <t>Voucher/Milhas</t>
        </is>
      </c>
      <c r="N21" s="5" t="inlineStr">
        <is>
          <t>Artigos de Casa</t>
        </is>
      </c>
    </row>
    <row r="22">
      <c r="A22" s="12" t="inlineStr">
        <is>
          <t>CLP</t>
        </is>
      </c>
      <c r="B22" s="12" t="inlineStr">
        <is>
          <t>Peso Chileno</t>
        </is>
      </c>
      <c r="C22" s="21" t="n">
        <v>0.0056</v>
      </c>
      <c r="D22" s="22" t="inlineStr">
        <is>
          <t>Exemplo (03/08/2026)</t>
        </is>
      </c>
      <c r="F22" s="5" t="inlineStr">
        <is>
          <t>Seguro Viagem</t>
        </is>
      </c>
      <c r="N22" s="5" t="inlineStr">
        <is>
          <t>Outros</t>
        </is>
      </c>
    </row>
    <row r="23">
      <c r="A23" s="12" t="inlineStr">
        <is>
          <t>MXN</t>
        </is>
      </c>
      <c r="B23" s="12" t="inlineStr">
        <is>
          <t>Peso Mexicano</t>
        </is>
      </c>
      <c r="C23" s="21" t="n">
        <v>0.28</v>
      </c>
      <c r="D23" s="22" t="inlineStr">
        <is>
          <t>Exemplo (03/08/2026)</t>
        </is>
      </c>
      <c r="F23" s="5" t="inlineStr">
        <is>
          <t>Documentos e Vistos</t>
        </is>
      </c>
    </row>
    <row r="24">
      <c r="A24" s="12" t="inlineStr">
        <is>
          <t>COP</t>
        </is>
      </c>
      <c r="B24" s="12" t="inlineStr">
        <is>
          <t>Peso Colombiano</t>
        </is>
      </c>
      <c r="C24" s="21" t="n">
        <v>0.0013</v>
      </c>
      <c r="D24" s="22" t="inlineStr">
        <is>
          <t>Exemplo (03/08/2026)</t>
        </is>
      </c>
      <c r="F24" s="5" t="inlineStr">
        <is>
          <t>Comunicação (Chip/Internet)</t>
        </is>
      </c>
    </row>
    <row r="25">
      <c r="A25" s="12" t="inlineStr">
        <is>
          <t>UYU</t>
        </is>
      </c>
      <c r="B25" s="12" t="inlineStr">
        <is>
          <t>Peso Uruguaio</t>
        </is>
      </c>
      <c r="C25" s="21" t="n">
        <v>0.14</v>
      </c>
      <c r="D25" s="22" t="inlineStr">
        <is>
          <t>Exemplo (03/08/2026)</t>
        </is>
      </c>
      <c r="F25" s="5" t="inlineStr">
        <is>
          <t>Emergência/Imprevistos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28" customWidth="1" min="4" max="4"/>
    <col width="20" customWidth="1" min="5" max="5"/>
    <col width="13" customWidth="1" min="6" max="6"/>
    <col width="9" customWidth="1" min="7" max="7"/>
    <col width="13" customWidth="1" min="8" max="8"/>
    <col width="13" customWidth="1" min="9" max="9"/>
    <col width="22" customWidth="1" min="10" max="10"/>
  </cols>
  <sheetData>
    <row r="1" ht="28" customHeight="1">
      <c r="A1" s="1" t="inlineStr">
        <is>
          <t>PLANEJAMENTO DA VIAGEM — ITINERÁRIO</t>
        </is>
      </c>
    </row>
    <row r="2">
      <c r="A2" s="17" t="inlineStr">
        <is>
          <t>Linhas 4-14 são EXEMPLOS (roteiro Lisboa/Porto). Ajuste datas, atividades e custos para o seu roteiro.</t>
        </is>
      </c>
    </row>
    <row r="3" ht="30" customHeight="1">
      <c r="A3" s="11" t="inlineStr">
        <is>
          <t>Data</t>
        </is>
      </c>
      <c r="B3" s="11" t="inlineStr">
        <is>
          <t>Dia da
Semana</t>
        </is>
      </c>
      <c r="C3" s="11" t="inlineStr">
        <is>
          <t>Horário</t>
        </is>
      </c>
      <c r="D3" s="11" t="inlineStr">
        <is>
          <t>Atividade / Local</t>
        </is>
      </c>
      <c r="E3" s="11" t="inlineStr">
        <is>
          <t>Categoria</t>
        </is>
      </c>
      <c r="F3" s="11" t="inlineStr">
        <is>
          <t>Custo Estimado
(Moeda Local)</t>
        </is>
      </c>
      <c r="G3" s="11" t="inlineStr">
        <is>
          <t>Moeda</t>
        </is>
      </c>
      <c r="H3" s="11" t="inlineStr">
        <is>
          <t>Taxa de
Câmbio</t>
        </is>
      </c>
      <c r="I3" s="11" t="inlineStr">
        <is>
          <t>Custo Estimado
(Moeda Base)</t>
        </is>
      </c>
      <c r="J3" s="11" t="inlineStr">
        <is>
          <t>Status</t>
        </is>
      </c>
      <c r="K3" s="11" t="inlineStr">
        <is>
          <t>Notas</t>
        </is>
      </c>
    </row>
    <row r="4">
      <c r="A4" s="23" t="n">
        <v>46275</v>
      </c>
      <c r="B4" s="24">
        <f>IF(A4="","",CHOOSE(WEEKDAY(A4,2),"Segunda","Terça","Quarta","Quinta","Sexta","Sábado","Domingo"))</f>
        <v/>
      </c>
      <c r="C4" s="24" t="inlineStr">
        <is>
          <t>15:00</t>
        </is>
      </c>
      <c r="D4" s="24" t="inlineStr">
        <is>
          <t>Chegada e check-in - Lisboa</t>
        </is>
      </c>
      <c r="E4" s="24" t="inlineStr">
        <is>
          <t>Hospedagem</t>
        </is>
      </c>
      <c r="F4" s="25" t="n">
        <v>0</v>
      </c>
      <c r="G4" s="26" t="inlineStr">
        <is>
          <t>EUR</t>
        </is>
      </c>
      <c r="H4" s="27">
        <f>IF(G4="","",IFERROR(INDEX(TaxaCambioTbl,MATCH(G4,ListaMoedas,0),3),1))</f>
        <v/>
      </c>
      <c r="I4" s="13">
        <f>IF(F4="","",F4*H4)</f>
        <v/>
      </c>
      <c r="J4" s="24" t="inlineStr">
        <is>
          <t>Confirmado</t>
        </is>
      </c>
      <c r="K4" s="24" t="n"/>
    </row>
    <row r="5">
      <c r="A5" s="23" t="n">
        <v>46276</v>
      </c>
      <c r="B5" s="24">
        <f>IF(A5="","",CHOOSE(WEEKDAY(A5,2),"Segunda","Terça","Quarta","Quinta","Sexta","Sábado","Domingo"))</f>
        <v/>
      </c>
      <c r="C5" s="24" t="inlineStr">
        <is>
          <t>09:00</t>
        </is>
      </c>
      <c r="D5" s="24" t="inlineStr">
        <is>
          <t>City tour a pé - Alfama</t>
        </is>
      </c>
      <c r="E5" s="24" t="inlineStr">
        <is>
          <t>Passeios e Atividades</t>
        </is>
      </c>
      <c r="F5" s="25" t="n">
        <v>0</v>
      </c>
      <c r="G5" s="26" t="inlineStr">
        <is>
          <t>EUR</t>
        </is>
      </c>
      <c r="H5" s="27">
        <f>IF(G5="","",IFERROR(INDEX(TaxaCambioTbl,MATCH(G5,ListaMoedas,0),3),1))</f>
        <v/>
      </c>
      <c r="I5" s="13">
        <f>IF(F5="","",F5*H5)</f>
        <v/>
      </c>
      <c r="J5" s="24" t="inlineStr">
        <is>
          <t>Confirmado</t>
        </is>
      </c>
      <c r="K5" s="24" t="n"/>
    </row>
    <row r="6">
      <c r="A6" s="23" t="n">
        <v>46277</v>
      </c>
      <c r="B6" s="24">
        <f>IF(A6="","",CHOOSE(WEEKDAY(A6,2),"Segunda","Terça","Quarta","Quinta","Sexta","Sábado","Domingo"))</f>
        <v/>
      </c>
      <c r="C6" s="24" t="inlineStr">
        <is>
          <t>08:00</t>
        </is>
      </c>
      <c r="D6" s="24" t="inlineStr">
        <is>
          <t>Excursão a Sintra</t>
        </is>
      </c>
      <c r="E6" s="24" t="inlineStr">
        <is>
          <t>Passeios e Atividades</t>
        </is>
      </c>
      <c r="F6" s="25" t="n">
        <v>65</v>
      </c>
      <c r="G6" s="26" t="inlineStr">
        <is>
          <t>EUR</t>
        </is>
      </c>
      <c r="H6" s="27">
        <f>IF(G6="","",IFERROR(INDEX(TaxaCambioTbl,MATCH(G6,ListaMoedas,0),3),1))</f>
        <v/>
      </c>
      <c r="I6" s="13">
        <f>IF(F6="","",F6*H6)</f>
        <v/>
      </c>
      <c r="J6" s="24" t="inlineStr">
        <is>
          <t>Confirmado</t>
        </is>
      </c>
      <c r="K6" s="24" t="n"/>
    </row>
    <row r="7">
      <c r="A7" s="23" t="n">
        <v>46278</v>
      </c>
      <c r="B7" s="24">
        <f>IF(A7="","",CHOOSE(WEEKDAY(A7,2),"Segunda","Terça","Quarta","Quinta","Sexta","Sábado","Domingo"))</f>
        <v/>
      </c>
      <c r="C7" s="24" t="inlineStr">
        <is>
          <t>10:00</t>
        </is>
      </c>
      <c r="D7" s="24" t="inlineStr">
        <is>
          <t>Torre de Belém e Mosteiro</t>
        </is>
      </c>
      <c r="E7" s="24" t="inlineStr">
        <is>
          <t>Passeios e Atividades</t>
        </is>
      </c>
      <c r="F7" s="25" t="n">
        <v>20</v>
      </c>
      <c r="G7" s="26" t="inlineStr">
        <is>
          <t>EUR</t>
        </is>
      </c>
      <c r="H7" s="27">
        <f>IF(G7="","",IFERROR(INDEX(TaxaCambioTbl,MATCH(G7,ListaMoedas,0),3),1))</f>
        <v/>
      </c>
      <c r="I7" s="13">
        <f>IF(F7="","",F7*H7)</f>
        <v/>
      </c>
      <c r="J7" s="24" t="inlineStr">
        <is>
          <t>Pendente</t>
        </is>
      </c>
      <c r="K7" s="24" t="n"/>
    </row>
    <row r="8">
      <c r="A8" s="23" t="n">
        <v>46279</v>
      </c>
      <c r="B8" s="24">
        <f>IF(A8="","",CHOOSE(WEEKDAY(A8,2),"Segunda","Terça","Quarta","Quinta","Sexta","Sábado","Domingo"))</f>
        <v/>
      </c>
      <c r="C8" s="24" t="inlineStr">
        <is>
          <t>07:30</t>
        </is>
      </c>
      <c r="D8" s="24" t="inlineStr">
        <is>
          <t>Trem para o Porto</t>
        </is>
      </c>
      <c r="E8" s="24" t="inlineStr">
        <is>
          <t>Transporte Local</t>
        </is>
      </c>
      <c r="F8" s="25" t="n">
        <v>35</v>
      </c>
      <c r="G8" s="26" t="inlineStr">
        <is>
          <t>EUR</t>
        </is>
      </c>
      <c r="H8" s="27">
        <f>IF(G8="","",IFERROR(INDEX(TaxaCambioTbl,MATCH(G8,ListaMoedas,0),3),1))</f>
        <v/>
      </c>
      <c r="I8" s="13">
        <f>IF(F8="","",F8*H8)</f>
        <v/>
      </c>
      <c r="J8" s="24" t="inlineStr">
        <is>
          <t>Confirmado</t>
        </is>
      </c>
      <c r="K8" s="24" t="n"/>
    </row>
    <row r="9">
      <c r="A9" s="23" t="n">
        <v>46280</v>
      </c>
      <c r="B9" s="24">
        <f>IF(A9="","",CHOOSE(WEEKDAY(A9,2),"Segunda","Terça","Quarta","Quinta","Sexta","Sábado","Domingo"))</f>
        <v/>
      </c>
      <c r="C9" s="24" t="inlineStr">
        <is>
          <t>09:00</t>
        </is>
      </c>
      <c r="D9" s="24" t="inlineStr">
        <is>
          <t>Livraria Lello e Ribeira</t>
        </is>
      </c>
      <c r="E9" s="24" t="inlineStr">
        <is>
          <t>Passeios e Atividades</t>
        </is>
      </c>
      <c r="F9" s="25" t="n">
        <v>15</v>
      </c>
      <c r="G9" s="26" t="inlineStr">
        <is>
          <t>EUR</t>
        </is>
      </c>
      <c r="H9" s="27">
        <f>IF(G9="","",IFERROR(INDEX(TaxaCambioTbl,MATCH(G9,ListaMoedas,0),3),1))</f>
        <v/>
      </c>
      <c r="I9" s="13">
        <f>IF(F9="","",F9*H9)</f>
        <v/>
      </c>
      <c r="J9" s="24" t="inlineStr">
        <is>
          <t>Pendente</t>
        </is>
      </c>
      <c r="K9" s="24" t="n"/>
    </row>
    <row r="10">
      <c r="A10" s="23" t="n">
        <v>46281</v>
      </c>
      <c r="B10" s="24">
        <f>IF(A10="","",CHOOSE(WEEKDAY(A10,2),"Segunda","Terça","Quarta","Quinta","Sexta","Sábado","Domingo"))</f>
        <v/>
      </c>
      <c r="C10" s="24" t="inlineStr">
        <is>
          <t>14:00</t>
        </is>
      </c>
      <c r="D10" s="24" t="inlineStr">
        <is>
          <t>Passeio de barco no Douro</t>
        </is>
      </c>
      <c r="E10" s="24" t="inlineStr">
        <is>
          <t>Passeios e Atividades</t>
        </is>
      </c>
      <c r="F10" s="25" t="n">
        <v>45</v>
      </c>
      <c r="G10" s="26" t="inlineStr">
        <is>
          <t>EUR</t>
        </is>
      </c>
      <c r="H10" s="27">
        <f>IF(G10="","",IFERROR(INDEX(TaxaCambioTbl,MATCH(G10,ListaMoedas,0),3),1))</f>
        <v/>
      </c>
      <c r="I10" s="13">
        <f>IF(F10="","",F10*H10)</f>
        <v/>
      </c>
      <c r="J10" s="24" t="inlineStr">
        <is>
          <t>Pendente</t>
        </is>
      </c>
      <c r="K10" s="24" t="n"/>
    </row>
    <row r="11">
      <c r="A11" s="23" t="n">
        <v>46282</v>
      </c>
      <c r="B11" s="24">
        <f>IF(A11="","",CHOOSE(WEEKDAY(A11,2),"Segunda","Terça","Quarta","Quinta","Sexta","Sábado","Domingo"))</f>
        <v/>
      </c>
      <c r="C11" s="24" t="inlineStr">
        <is>
          <t>11:00</t>
        </is>
      </c>
      <c r="D11" s="24" t="inlineStr">
        <is>
          <t>Caves de Vinho do Porto</t>
        </is>
      </c>
      <c r="E11" s="24" t="inlineStr">
        <is>
          <t>Passeios e Atividades</t>
        </is>
      </c>
      <c r="F11" s="25" t="n">
        <v>25</v>
      </c>
      <c r="G11" s="26" t="inlineStr">
        <is>
          <t>EUR</t>
        </is>
      </c>
      <c r="H11" s="27">
        <f>IF(G11="","",IFERROR(INDEX(TaxaCambioTbl,MATCH(G11,ListaMoedas,0),3),1))</f>
        <v/>
      </c>
      <c r="I11" s="13">
        <f>IF(F11="","",F11*H11)</f>
        <v/>
      </c>
      <c r="J11" s="24" t="inlineStr">
        <is>
          <t>Pendente</t>
        </is>
      </c>
      <c r="K11" s="24" t="n"/>
    </row>
    <row r="12">
      <c r="A12" s="23" t="n">
        <v>46283</v>
      </c>
      <c r="B12" s="24">
        <f>IF(A12="","",CHOOSE(WEEKDAY(A12,2),"Segunda","Terça","Quarta","Quinta","Sexta","Sábado","Domingo"))</f>
        <v/>
      </c>
      <c r="C12" s="24" t="inlineStr">
        <is>
          <t>07:30</t>
        </is>
      </c>
      <c r="D12" s="24" t="inlineStr">
        <is>
          <t>Trem de volta a Lisboa</t>
        </is>
      </c>
      <c r="E12" s="24" t="inlineStr">
        <is>
          <t>Transporte Local</t>
        </is>
      </c>
      <c r="F12" s="25" t="n">
        <v>35</v>
      </c>
      <c r="G12" s="26" t="inlineStr">
        <is>
          <t>EUR</t>
        </is>
      </c>
      <c r="H12" s="27">
        <f>IF(G12="","",IFERROR(INDEX(TaxaCambioTbl,MATCH(G12,ListaMoedas,0),3),1))</f>
        <v/>
      </c>
      <c r="I12" s="13">
        <f>IF(F12="","",F12*H12)</f>
        <v/>
      </c>
      <c r="J12" s="24" t="inlineStr">
        <is>
          <t>Confirmado</t>
        </is>
      </c>
      <c r="K12" s="24" t="n"/>
    </row>
    <row r="13">
      <c r="A13" s="23" t="n">
        <v>46284</v>
      </c>
      <c r="B13" s="24">
        <f>IF(A13="","",CHOOSE(WEEKDAY(A13,2),"Segunda","Terça","Quarta","Quinta","Sexta","Sábado","Domingo"))</f>
        <v/>
      </c>
      <c r="C13" s="24" t="inlineStr">
        <is>
          <t>10:00</t>
        </is>
      </c>
      <c r="D13" s="24" t="inlineStr">
        <is>
          <t>Dia livre / compras</t>
        </is>
      </c>
      <c r="E13" s="24" t="inlineStr">
        <is>
          <t>Compras e Presentes</t>
        </is>
      </c>
      <c r="F13" s="25" t="n">
        <v>0</v>
      </c>
      <c r="G13" s="26" t="inlineStr">
        <is>
          <t>EUR</t>
        </is>
      </c>
      <c r="H13" s="27">
        <f>IF(G13="","",IFERROR(INDEX(TaxaCambioTbl,MATCH(G13,ListaMoedas,0),3),1))</f>
        <v/>
      </c>
      <c r="I13" s="13">
        <f>IF(F13="","",F13*H13)</f>
        <v/>
      </c>
      <c r="J13" s="24" t="inlineStr">
        <is>
          <t>Pendente</t>
        </is>
      </c>
      <c r="K13" s="24" t="n"/>
    </row>
    <row r="14">
      <c r="A14" s="23" t="n">
        <v>46285</v>
      </c>
      <c r="B14" s="24">
        <f>IF(A14="","",CHOOSE(WEEKDAY(A14,2),"Segunda","Terça","Quarta","Quinta","Sexta","Sábado","Domingo"))</f>
        <v/>
      </c>
      <c r="C14" s="24" t="inlineStr">
        <is>
          <t>12:00</t>
        </is>
      </c>
      <c r="D14" s="24" t="inlineStr">
        <is>
          <t>Check-out e aeroporto</t>
        </is>
      </c>
      <c r="E14" s="24" t="inlineStr">
        <is>
          <t>Transporte Local</t>
        </is>
      </c>
      <c r="F14" s="25" t="n">
        <v>25</v>
      </c>
      <c r="G14" s="26" t="inlineStr">
        <is>
          <t>EUR</t>
        </is>
      </c>
      <c r="H14" s="27">
        <f>IF(G14="","",IFERROR(INDEX(TaxaCambioTbl,MATCH(G14,ListaMoedas,0),3),1))</f>
        <v/>
      </c>
      <c r="I14" s="13">
        <f>IF(F14="","",F14*H14)</f>
        <v/>
      </c>
      <c r="J14" s="24" t="inlineStr">
        <is>
          <t>Confirmado</t>
        </is>
      </c>
      <c r="K14" s="24" t="n"/>
    </row>
    <row r="15">
      <c r="A15" s="28" t="n"/>
      <c r="B15" s="12">
        <f>IF(A15="","",CHOOSE(WEEKDAY(A15,2),"Segunda","Terça","Quarta","Quinta","Sexta","Sábado","Domingo"))</f>
        <v/>
      </c>
      <c r="C15" s="12" t="n"/>
      <c r="D15" s="12" t="n"/>
      <c r="E15" s="12" t="n"/>
      <c r="F15" s="29" t="n"/>
      <c r="G15" s="30" t="n"/>
      <c r="H15" s="27">
        <f>IF(G15="","",IFERROR(INDEX(TaxaCambioTbl,MATCH(G15,ListaMoedas,0),3),1))</f>
        <v/>
      </c>
      <c r="I15" s="13">
        <f>IF(F15="","",F15*H15)</f>
        <v/>
      </c>
      <c r="J15" s="12" t="n"/>
      <c r="K15" s="12" t="n"/>
    </row>
    <row r="16">
      <c r="A16" s="28" t="n"/>
      <c r="B16" s="12">
        <f>IF(A16="","",CHOOSE(WEEKDAY(A16,2),"Segunda","Terça","Quarta","Quinta","Sexta","Sábado","Domingo"))</f>
        <v/>
      </c>
      <c r="C16" s="12" t="n"/>
      <c r="D16" s="12" t="n"/>
      <c r="E16" s="12" t="n"/>
      <c r="F16" s="29" t="n"/>
      <c r="G16" s="30" t="n"/>
      <c r="H16" s="27">
        <f>IF(G16="","",IFERROR(INDEX(TaxaCambioTbl,MATCH(G16,ListaMoedas,0),3),1))</f>
        <v/>
      </c>
      <c r="I16" s="13">
        <f>IF(F16="","",F16*H16)</f>
        <v/>
      </c>
      <c r="J16" s="12" t="n"/>
      <c r="K16" s="12" t="n"/>
    </row>
    <row r="17">
      <c r="A17" s="28" t="n"/>
      <c r="B17" s="12">
        <f>IF(A17="","",CHOOSE(WEEKDAY(A17,2),"Segunda","Terça","Quarta","Quinta","Sexta","Sábado","Domingo"))</f>
        <v/>
      </c>
      <c r="C17" s="12" t="n"/>
      <c r="D17" s="12" t="n"/>
      <c r="E17" s="12" t="n"/>
      <c r="F17" s="29" t="n"/>
      <c r="G17" s="30" t="n"/>
      <c r="H17" s="27">
        <f>IF(G17="","",IFERROR(INDEX(TaxaCambioTbl,MATCH(G17,ListaMoedas,0),3),1))</f>
        <v/>
      </c>
      <c r="I17" s="13">
        <f>IF(F17="","",F17*H17)</f>
        <v/>
      </c>
      <c r="J17" s="12" t="n"/>
      <c r="K17" s="12" t="n"/>
    </row>
    <row r="18">
      <c r="A18" s="28" t="n"/>
      <c r="B18" s="12">
        <f>IF(A18="","",CHOOSE(WEEKDAY(A18,2),"Segunda","Terça","Quarta","Quinta","Sexta","Sábado","Domingo"))</f>
        <v/>
      </c>
      <c r="C18" s="12" t="n"/>
      <c r="D18" s="12" t="n"/>
      <c r="E18" s="12" t="n"/>
      <c r="F18" s="29" t="n"/>
      <c r="G18" s="30" t="n"/>
      <c r="H18" s="27">
        <f>IF(G18="","",IFERROR(INDEX(TaxaCambioTbl,MATCH(G18,ListaMoedas,0),3),1))</f>
        <v/>
      </c>
      <c r="I18" s="13">
        <f>IF(F18="","",F18*H18)</f>
        <v/>
      </c>
      <c r="J18" s="12" t="n"/>
      <c r="K18" s="12" t="n"/>
    </row>
    <row r="19">
      <c r="A19" s="28" t="n"/>
      <c r="B19" s="12">
        <f>IF(A19="","",CHOOSE(WEEKDAY(A19,2),"Segunda","Terça","Quarta","Quinta","Sexta","Sábado","Domingo"))</f>
        <v/>
      </c>
      <c r="C19" s="12" t="n"/>
      <c r="D19" s="12" t="n"/>
      <c r="E19" s="12" t="n"/>
      <c r="F19" s="29" t="n"/>
      <c r="G19" s="30" t="n"/>
      <c r="H19" s="27">
        <f>IF(G19="","",IFERROR(INDEX(TaxaCambioTbl,MATCH(G19,ListaMoedas,0),3),1))</f>
        <v/>
      </c>
      <c r="I19" s="13">
        <f>IF(F19="","",F19*H19)</f>
        <v/>
      </c>
      <c r="J19" s="12" t="n"/>
      <c r="K19" s="12" t="n"/>
    </row>
    <row r="20">
      <c r="A20" s="28" t="n"/>
      <c r="B20" s="12">
        <f>IF(A20="","",CHOOSE(WEEKDAY(A20,2),"Segunda","Terça","Quarta","Quinta","Sexta","Sábado","Domingo"))</f>
        <v/>
      </c>
      <c r="C20" s="12" t="n"/>
      <c r="D20" s="12" t="n"/>
      <c r="E20" s="12" t="n"/>
      <c r="F20" s="29" t="n"/>
      <c r="G20" s="30" t="n"/>
      <c r="H20" s="27">
        <f>IF(G20="","",IFERROR(INDEX(TaxaCambioTbl,MATCH(G20,ListaMoedas,0),3),1))</f>
        <v/>
      </c>
      <c r="I20" s="13">
        <f>IF(F20="","",F20*H20)</f>
        <v/>
      </c>
      <c r="J20" s="12" t="n"/>
      <c r="K20" s="12" t="n"/>
    </row>
    <row r="21">
      <c r="A21" s="28" t="n"/>
      <c r="B21" s="12">
        <f>IF(A21="","",CHOOSE(WEEKDAY(A21,2),"Segunda","Terça","Quarta","Quinta","Sexta","Sábado","Domingo"))</f>
        <v/>
      </c>
      <c r="C21" s="12" t="n"/>
      <c r="D21" s="12" t="n"/>
      <c r="E21" s="12" t="n"/>
      <c r="F21" s="29" t="n"/>
      <c r="G21" s="30" t="n"/>
      <c r="H21" s="27">
        <f>IF(G21="","",IFERROR(INDEX(TaxaCambioTbl,MATCH(G21,ListaMoedas,0),3),1))</f>
        <v/>
      </c>
      <c r="I21" s="13">
        <f>IF(F21="","",F21*H21)</f>
        <v/>
      </c>
      <c r="J21" s="12" t="n"/>
      <c r="K21" s="12" t="n"/>
    </row>
    <row r="22">
      <c r="A22" s="28" t="n"/>
      <c r="B22" s="12">
        <f>IF(A22="","",CHOOSE(WEEKDAY(A22,2),"Segunda","Terça","Quarta","Quinta","Sexta","Sábado","Domingo"))</f>
        <v/>
      </c>
      <c r="C22" s="12" t="n"/>
      <c r="D22" s="12" t="n"/>
      <c r="E22" s="12" t="n"/>
      <c r="F22" s="29" t="n"/>
      <c r="G22" s="30" t="n"/>
      <c r="H22" s="27">
        <f>IF(G22="","",IFERROR(INDEX(TaxaCambioTbl,MATCH(G22,ListaMoedas,0),3),1))</f>
        <v/>
      </c>
      <c r="I22" s="13">
        <f>IF(F22="","",F22*H22)</f>
        <v/>
      </c>
      <c r="J22" s="12" t="n"/>
      <c r="K22" s="12" t="n"/>
    </row>
    <row r="23">
      <c r="A23" s="28" t="n"/>
      <c r="B23" s="12">
        <f>IF(A23="","",CHOOSE(WEEKDAY(A23,2),"Segunda","Terça","Quarta","Quinta","Sexta","Sábado","Domingo"))</f>
        <v/>
      </c>
      <c r="C23" s="12" t="n"/>
      <c r="D23" s="12" t="n"/>
      <c r="E23" s="12" t="n"/>
      <c r="F23" s="29" t="n"/>
      <c r="G23" s="30" t="n"/>
      <c r="H23" s="27">
        <f>IF(G23="","",IFERROR(INDEX(TaxaCambioTbl,MATCH(G23,ListaMoedas,0),3),1))</f>
        <v/>
      </c>
      <c r="I23" s="13">
        <f>IF(F23="","",F23*H23)</f>
        <v/>
      </c>
      <c r="J23" s="12" t="n"/>
      <c r="K23" s="12" t="n"/>
    </row>
    <row r="24">
      <c r="A24" s="28" t="n"/>
      <c r="B24" s="12">
        <f>IF(A24="","",CHOOSE(WEEKDAY(A24,2),"Segunda","Terça","Quarta","Quinta","Sexta","Sábado","Domingo"))</f>
        <v/>
      </c>
      <c r="C24" s="12" t="n"/>
      <c r="D24" s="12" t="n"/>
      <c r="E24" s="12" t="n"/>
      <c r="F24" s="29" t="n"/>
      <c r="G24" s="30" t="n"/>
      <c r="H24" s="27">
        <f>IF(G24="","",IFERROR(INDEX(TaxaCambioTbl,MATCH(G24,ListaMoedas,0),3),1))</f>
        <v/>
      </c>
      <c r="I24" s="13">
        <f>IF(F24="","",F24*H24)</f>
        <v/>
      </c>
      <c r="J24" s="12" t="n"/>
      <c r="K24" s="12" t="n"/>
    </row>
    <row r="25">
      <c r="A25" s="28" t="n"/>
      <c r="B25" s="12">
        <f>IF(A25="","",CHOOSE(WEEKDAY(A25,2),"Segunda","Terça","Quarta","Quinta","Sexta","Sábado","Domingo"))</f>
        <v/>
      </c>
      <c r="C25" s="12" t="n"/>
      <c r="D25" s="12" t="n"/>
      <c r="E25" s="12" t="n"/>
      <c r="F25" s="29" t="n"/>
      <c r="G25" s="30" t="n"/>
      <c r="H25" s="27">
        <f>IF(G25="","",IFERROR(INDEX(TaxaCambioTbl,MATCH(G25,ListaMoedas,0),3),1))</f>
        <v/>
      </c>
      <c r="I25" s="13">
        <f>IF(F25="","",F25*H25)</f>
        <v/>
      </c>
      <c r="J25" s="12" t="n"/>
      <c r="K25" s="12" t="n"/>
    </row>
    <row r="26">
      <c r="A26" s="28" t="n"/>
      <c r="B26" s="12">
        <f>IF(A26="","",CHOOSE(WEEKDAY(A26,2),"Segunda","Terça","Quarta","Quinta","Sexta","Sábado","Domingo"))</f>
        <v/>
      </c>
      <c r="C26" s="12" t="n"/>
      <c r="D26" s="12" t="n"/>
      <c r="E26" s="12" t="n"/>
      <c r="F26" s="29" t="n"/>
      <c r="G26" s="30" t="n"/>
      <c r="H26" s="27">
        <f>IF(G26="","",IFERROR(INDEX(TaxaCambioTbl,MATCH(G26,ListaMoedas,0),3),1))</f>
        <v/>
      </c>
      <c r="I26" s="13">
        <f>IF(F26="","",F26*H26)</f>
        <v/>
      </c>
      <c r="J26" s="12" t="n"/>
      <c r="K26" s="12" t="n"/>
    </row>
    <row r="29" ht="24" customHeight="1">
      <c r="A29" s="1" t="inlineStr">
        <is>
          <t>CHECKLIST PRÉ-VIAGEM</t>
        </is>
      </c>
    </row>
    <row r="30" ht="30" customHeight="1">
      <c r="A30" s="11" t="inlineStr">
        <is>
          <t>Item</t>
        </is>
      </c>
      <c r="B30" s="11" t="inlineStr">
        <is>
          <t>Categoria</t>
        </is>
      </c>
      <c r="C30" s="11" t="inlineStr">
        <is>
          <t>Prioridade</t>
        </is>
      </c>
      <c r="D30" s="11" t="inlineStr">
        <is>
          <t>Status</t>
        </is>
      </c>
    </row>
    <row r="31">
      <c r="A31" s="12" t="inlineStr">
        <is>
          <t>Passaporte válido (6+ meses)</t>
        </is>
      </c>
      <c r="B31" s="12" t="inlineStr">
        <is>
          <t>Documentos</t>
        </is>
      </c>
      <c r="C31" s="12" t="inlineStr">
        <is>
          <t>Alta</t>
        </is>
      </c>
      <c r="D31" s="12" t="inlineStr">
        <is>
          <t>Feito</t>
        </is>
      </c>
    </row>
    <row r="32">
      <c r="A32" s="12" t="inlineStr">
        <is>
          <t>Seguro viagem contratado</t>
        </is>
      </c>
      <c r="B32" s="12" t="inlineStr">
        <is>
          <t>Financeiro</t>
        </is>
      </c>
      <c r="C32" s="12" t="inlineStr">
        <is>
          <t>Alta</t>
        </is>
      </c>
      <c r="D32" s="12" t="inlineStr">
        <is>
          <t>Feito</t>
        </is>
      </c>
    </row>
    <row r="33">
      <c r="A33" s="12" t="inlineStr">
        <is>
          <t>Cópias digitais dos documentos</t>
        </is>
      </c>
      <c r="B33" s="12" t="inlineStr">
        <is>
          <t>Documentos</t>
        </is>
      </c>
      <c r="C33" s="12" t="inlineStr">
        <is>
          <t>Média</t>
        </is>
      </c>
      <c r="D33" s="12" t="inlineStr">
        <is>
          <t>Pendente</t>
        </is>
      </c>
    </row>
    <row r="34">
      <c r="A34" s="12" t="inlineStr">
        <is>
          <t>Câmbio de moeda / cartão internacional</t>
        </is>
      </c>
      <c r="B34" s="12" t="inlineStr">
        <is>
          <t>Financeiro</t>
        </is>
      </c>
      <c r="C34" s="12" t="inlineStr">
        <is>
          <t>Alta</t>
        </is>
      </c>
      <c r="D34" s="12" t="inlineStr">
        <is>
          <t>Pendente</t>
        </is>
      </c>
    </row>
    <row r="35">
      <c r="A35" s="12" t="inlineStr">
        <is>
          <t>Notificar banco sobre a viagem</t>
        </is>
      </c>
      <c r="B35" s="12" t="inlineStr">
        <is>
          <t>Financeiro</t>
        </is>
      </c>
      <c r="C35" s="12" t="inlineStr">
        <is>
          <t>Média</t>
        </is>
      </c>
      <c r="D35" s="12" t="inlineStr">
        <is>
          <t>Pendente</t>
        </is>
      </c>
    </row>
    <row r="36">
      <c r="A36" s="12" t="inlineStr">
        <is>
          <t>Reserva de hospedagem confirmada</t>
        </is>
      </c>
      <c r="B36" s="12" t="inlineStr">
        <is>
          <t>Reservas</t>
        </is>
      </c>
      <c r="C36" s="12" t="inlineStr">
        <is>
          <t>Alta</t>
        </is>
      </c>
      <c r="D36" s="12" t="inlineStr">
        <is>
          <t>Feito</t>
        </is>
      </c>
    </row>
    <row r="37">
      <c r="A37" s="12" t="inlineStr">
        <is>
          <t>Passagens aéreas confirmadas</t>
        </is>
      </c>
      <c r="B37" s="12" t="inlineStr">
        <is>
          <t>Reservas</t>
        </is>
      </c>
      <c r="C37" s="12" t="inlineStr">
        <is>
          <t>Alta</t>
        </is>
      </c>
      <c r="D37" s="12" t="inlineStr">
        <is>
          <t>Feito</t>
        </is>
      </c>
    </row>
    <row r="38">
      <c r="A38" s="12" t="inlineStr">
        <is>
          <t>e-SIM / chip internacional</t>
        </is>
      </c>
      <c r="B38" s="12" t="inlineStr">
        <is>
          <t>Eletrônicos</t>
        </is>
      </c>
      <c r="C38" s="12" t="inlineStr">
        <is>
          <t>Média</t>
        </is>
      </c>
      <c r="D38" s="12" t="inlineStr">
        <is>
          <t>Pendente</t>
        </is>
      </c>
    </row>
    <row r="39">
      <c r="A39" s="12" t="inlineStr">
        <is>
          <t>Adaptador de tomada</t>
        </is>
      </c>
      <c r="B39" s="12" t="inlineStr">
        <is>
          <t>Eletrônicos</t>
        </is>
      </c>
      <c r="C39" s="12" t="inlineStr">
        <is>
          <t>Baixa</t>
        </is>
      </c>
      <c r="D39" s="12" t="inlineStr">
        <is>
          <t>Pendente</t>
        </is>
      </c>
    </row>
    <row r="40">
      <c r="A40" s="12" t="inlineStr">
        <is>
          <t>Remédios e receitas necessárias</t>
        </is>
      </c>
      <c r="B40" s="12" t="inlineStr">
        <is>
          <t>Saúde</t>
        </is>
      </c>
      <c r="C40" s="12" t="inlineStr">
        <is>
          <t>Alta</t>
        </is>
      </c>
      <c r="D40" s="12" t="inlineStr">
        <is>
          <t>Pendente</t>
        </is>
      </c>
    </row>
    <row r="41">
      <c r="A41" s="12" t="inlineStr">
        <is>
          <t>Vacinas em dia (se exigido)</t>
        </is>
      </c>
      <c r="B41" s="12" t="inlineStr">
        <is>
          <t>Saúde</t>
        </is>
      </c>
      <c r="C41" s="12" t="inlineStr">
        <is>
          <t>Média</t>
        </is>
      </c>
      <c r="D41" s="12" t="inlineStr">
        <is>
          <t>Feito</t>
        </is>
      </c>
    </row>
    <row r="42">
      <c r="A42" s="12" t="inlineStr">
        <is>
          <t>Mala organizada</t>
        </is>
      </c>
      <c r="B42" s="12" t="inlineStr">
        <is>
          <t>Bagagem</t>
        </is>
      </c>
      <c r="C42" s="12" t="inlineStr">
        <is>
          <t>Baixa</t>
        </is>
      </c>
      <c r="D42" s="12" t="inlineStr">
        <is>
          <t>Pendente</t>
        </is>
      </c>
    </row>
    <row r="43">
      <c r="A43" s="12" t="inlineStr">
        <is>
          <t>Transporte para o aeroporto agendado</t>
        </is>
      </c>
      <c r="B43" s="12" t="inlineStr">
        <is>
          <t>Reservas</t>
        </is>
      </c>
      <c r="C43" s="12" t="inlineStr">
        <is>
          <t>Média</t>
        </is>
      </c>
      <c r="D43" s="12" t="inlineStr">
        <is>
          <t>Pendente</t>
        </is>
      </c>
    </row>
  </sheetData>
  <mergeCells count="2">
    <mergeCell ref="A1:J1"/>
    <mergeCell ref="A29:E29"/>
  </mergeCells>
  <conditionalFormatting sqref="J4:J26">
    <cfRule type="cellIs" priority="1" operator="equal" dxfId="0">
      <formula>"Confirmado"</formula>
    </cfRule>
    <cfRule type="cellIs" priority="2" operator="equal" dxfId="1">
      <formula>"Pendente"</formula>
    </cfRule>
  </conditionalFormatting>
  <conditionalFormatting sqref="D31:D43">
    <cfRule type="cellIs" priority="3" operator="equal" dxfId="0">
      <formula>"Feito"</formula>
    </cfRule>
    <cfRule type="cellIs" priority="4" operator="equal" dxfId="1">
      <formula>"Pendente"</formula>
    </cfRule>
  </conditionalFormatting>
  <dataValidations count="6">
    <dataValidation sqref="E4:E26" showDropDown="0" showInputMessage="0" showErrorMessage="0" allowBlank="1" type="list">
      <formula1>=CatDespesa</formula1>
    </dataValidation>
    <dataValidation sqref="G4:G26" showDropDown="0" showInputMessage="0" showErrorMessage="0" allowBlank="1" type="list">
      <formula1>=ListaMoedas</formula1>
    </dataValidation>
    <dataValidation sqref="J4:J26" showDropDown="0" showInputMessage="0" showErrorMessage="0" allowBlank="1" type="list">
      <formula1>=StatusItinerario</formula1>
    </dataValidation>
    <dataValidation sqref="B31:B43" showDropDown="0" showInputMessage="0" showErrorMessage="0" allowBlank="1" type="list">
      <formula1>"Documentos,Saúde,Financeiro,Eletrônicos,Reservas,Bagagem"</formula1>
    </dataValidation>
    <dataValidation sqref="C31:C43" showDropDown="0" showInputMessage="0" showErrorMessage="0" allowBlank="1" type="list">
      <formula1>=Prioridade</formula1>
    </dataValidation>
    <dataValidation sqref="D31:D43" showDropDown="0" showInputMessage="0" showErrorMessage="0" allowBlank="1" type="list">
      <formula1>=StatusItem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0" customWidth="1" min="3" max="3"/>
    <col width="14" customWidth="1" min="4" max="4"/>
    <col width="22" customWidth="1" min="5" max="5"/>
    <col width="16" customWidth="1" min="6" max="6"/>
    <col width="30" customWidth="1" min="7" max="7"/>
  </cols>
  <sheetData>
    <row r="1" ht="28" customHeight="1">
      <c r="A1" s="1" t="inlineStr">
        <is>
          <t>PREVISÃO DE GASTOS (ORÇAMENTO)</t>
        </is>
      </c>
    </row>
    <row r="2">
      <c r="A2" s="17" t="inlineStr">
        <is>
          <t>Defina o orçamento previsto por categoria. A moeda pode ser diferente para cada linha — a conversão é automática.</t>
        </is>
      </c>
    </row>
    <row r="3" ht="30" customHeight="1">
      <c r="A3" s="11" t="inlineStr">
        <is>
          <t>Categoria</t>
        </is>
      </c>
      <c r="B3" s="11" t="inlineStr">
        <is>
          <t>Moeda</t>
        </is>
      </c>
      <c r="C3" s="11" t="inlineStr">
        <is>
          <t>Valor Previsto
(Moeda Local)</t>
        </is>
      </c>
      <c r="D3" s="11" t="inlineStr">
        <is>
          <t>Taxa de Câmbio</t>
        </is>
      </c>
      <c r="E3" s="11" t="inlineStr">
        <is>
          <t>Valor Previsto
(Moeda Base)</t>
        </is>
      </c>
      <c r="F3" s="11" t="inlineStr">
        <is>
          <t>% do Orçamento
Total</t>
        </is>
      </c>
      <c r="G3" s="11" t="inlineStr">
        <is>
          <t>Observações</t>
        </is>
      </c>
    </row>
    <row r="4">
      <c r="A4" s="12" t="inlineStr">
        <is>
          <t>Hospedagem</t>
        </is>
      </c>
      <c r="B4" s="30" t="inlineStr">
        <is>
          <t>EUR</t>
        </is>
      </c>
      <c r="C4" s="29" t="n">
        <v>900</v>
      </c>
      <c r="D4" s="31">
        <f>IFERROR(INDEX(TaxaCambioTbl,MATCH(B4,ListaMoedas,0),3),1)</f>
        <v/>
      </c>
      <c r="E4" s="16">
        <f>C4*D4</f>
        <v/>
      </c>
      <c r="F4" s="32">
        <f>E4/$E$14</f>
        <v/>
      </c>
      <c r="G4" s="22" t="inlineStr">
        <is>
          <t>10 noites, apto compartilhado</t>
        </is>
      </c>
    </row>
    <row r="5">
      <c r="A5" s="12" t="inlineStr">
        <is>
          <t>Passagens Aéreas</t>
        </is>
      </c>
      <c r="B5" s="30" t="inlineStr">
        <is>
          <t>BRL</t>
        </is>
      </c>
      <c r="C5" s="29" t="n">
        <v>3800</v>
      </c>
      <c r="D5" s="31">
        <f>IFERROR(INDEX(TaxaCambioTbl,MATCH(B5,ListaMoedas,0),3),1)</f>
        <v/>
      </c>
      <c r="E5" s="16">
        <f>C5*D5</f>
        <v/>
      </c>
      <c r="F5" s="32">
        <f>E5/$E$14</f>
        <v/>
      </c>
      <c r="G5" s="22" t="inlineStr">
        <is>
          <t>Já cotado - ida e volta</t>
        </is>
      </c>
    </row>
    <row r="6">
      <c r="A6" s="12" t="inlineStr">
        <is>
          <t>Transporte Local</t>
        </is>
      </c>
      <c r="B6" s="30" t="inlineStr">
        <is>
          <t>EUR</t>
        </is>
      </c>
      <c r="C6" s="29" t="n">
        <v>150</v>
      </c>
      <c r="D6" s="31">
        <f>IFERROR(INDEX(TaxaCambioTbl,MATCH(B6,ListaMoedas,0),3),1)</f>
        <v/>
      </c>
      <c r="E6" s="16">
        <f>C6*D6</f>
        <v/>
      </c>
      <c r="F6" s="32">
        <f>E6/$E$14</f>
        <v/>
      </c>
      <c r="G6" s="22" t="inlineStr">
        <is>
          <t>Metrô, trem Lisboa-Porto</t>
        </is>
      </c>
    </row>
    <row r="7">
      <c r="A7" s="12" t="inlineStr">
        <is>
          <t>Alimentação</t>
        </is>
      </c>
      <c r="B7" s="30" t="inlineStr">
        <is>
          <t>EUR</t>
        </is>
      </c>
      <c r="C7" s="29" t="n">
        <v>600</v>
      </c>
      <c r="D7" s="31">
        <f>IFERROR(INDEX(TaxaCambioTbl,MATCH(B7,ListaMoedas,0),3),1)</f>
        <v/>
      </c>
      <c r="E7" s="16">
        <f>C7*D7</f>
        <v/>
      </c>
      <c r="F7" s="32">
        <f>E7/$E$14</f>
        <v/>
      </c>
      <c r="G7" s="22" t="inlineStr">
        <is>
          <t>Restaurantes e mercado</t>
        </is>
      </c>
    </row>
    <row r="8">
      <c r="A8" s="12" t="inlineStr">
        <is>
          <t>Passeios e Atividades</t>
        </is>
      </c>
      <c r="B8" s="30" t="inlineStr">
        <is>
          <t>EUR</t>
        </is>
      </c>
      <c r="C8" s="29" t="n">
        <v>350</v>
      </c>
      <c r="D8" s="31">
        <f>IFERROR(INDEX(TaxaCambioTbl,MATCH(B8,ListaMoedas,0),3),1)</f>
        <v/>
      </c>
      <c r="E8" s="16">
        <f>C8*D8</f>
        <v/>
      </c>
      <c r="F8" s="32">
        <f>E8/$E$14</f>
        <v/>
      </c>
      <c r="G8" s="22" t="inlineStr">
        <is>
          <t>Tours, museus, Sintra</t>
        </is>
      </c>
    </row>
    <row r="9">
      <c r="A9" s="12" t="inlineStr">
        <is>
          <t>Compras e Presentes</t>
        </is>
      </c>
      <c r="B9" s="30" t="inlineStr">
        <is>
          <t>EUR</t>
        </is>
      </c>
      <c r="C9" s="29" t="n">
        <v>300</v>
      </c>
      <c r="D9" s="31">
        <f>IFERROR(INDEX(TaxaCambioTbl,MATCH(B9,ListaMoedas,0),3),1)</f>
        <v/>
      </c>
      <c r="E9" s="16">
        <f>C9*D9</f>
        <v/>
      </c>
      <c r="F9" s="32">
        <f>E9/$E$14</f>
        <v/>
      </c>
      <c r="G9" s="22" t="inlineStr">
        <is>
          <t>Ver aba Compras</t>
        </is>
      </c>
    </row>
    <row r="10">
      <c r="A10" s="12" t="inlineStr">
        <is>
          <t>Seguro Viagem</t>
        </is>
      </c>
      <c r="B10" s="30" t="inlineStr">
        <is>
          <t>BRL</t>
        </is>
      </c>
      <c r="C10" s="29" t="n">
        <v>250</v>
      </c>
      <c r="D10" s="31">
        <f>IFERROR(INDEX(TaxaCambioTbl,MATCH(B10,ListaMoedas,0),3),1)</f>
        <v/>
      </c>
      <c r="E10" s="16">
        <f>C10*D10</f>
        <v/>
      </c>
      <c r="F10" s="32">
        <f>E10/$E$14</f>
        <v/>
      </c>
      <c r="G10" s="22" t="inlineStr">
        <is>
          <t>10 dias, cobertura Europa</t>
        </is>
      </c>
    </row>
    <row r="11">
      <c r="A11" s="12" t="inlineStr">
        <is>
          <t>Documentos e Vistos</t>
        </is>
      </c>
      <c r="B11" s="30" t="inlineStr">
        <is>
          <t>BRL</t>
        </is>
      </c>
      <c r="C11" s="29" t="n">
        <v>0</v>
      </c>
      <c r="D11" s="31">
        <f>IFERROR(INDEX(TaxaCambioTbl,MATCH(B11,ListaMoedas,0),3),1)</f>
        <v/>
      </c>
      <c r="E11" s="16">
        <f>C11*D11</f>
        <v/>
      </c>
      <c r="F11" s="32">
        <f>E11/$E$14</f>
        <v/>
      </c>
      <c r="G11" s="22" t="inlineStr">
        <is>
          <t>Não exigido p/ brasileiros</t>
        </is>
      </c>
    </row>
    <row r="12">
      <c r="A12" s="12" t="inlineStr">
        <is>
          <t>Comunicação (Chip/Internet)</t>
        </is>
      </c>
      <c r="B12" s="30" t="inlineStr">
        <is>
          <t>EUR</t>
        </is>
      </c>
      <c r="C12" s="29" t="n">
        <v>40</v>
      </c>
      <c r="D12" s="31">
        <f>IFERROR(INDEX(TaxaCambioTbl,MATCH(B12,ListaMoedas,0),3),1)</f>
        <v/>
      </c>
      <c r="E12" s="16">
        <f>C12*D12</f>
        <v/>
      </c>
      <c r="F12" s="32">
        <f>E12/$E$14</f>
        <v/>
      </c>
      <c r="G12" s="22" t="inlineStr">
        <is>
          <t>e-SIM 10 dias</t>
        </is>
      </c>
    </row>
    <row r="13">
      <c r="A13" s="12" t="inlineStr">
        <is>
          <t>Emergência/Imprevistos</t>
        </is>
      </c>
      <c r="B13" s="30" t="inlineStr">
        <is>
          <t>EUR</t>
        </is>
      </c>
      <c r="C13" s="29" t="n">
        <v>200</v>
      </c>
      <c r="D13" s="31">
        <f>IFERROR(INDEX(TaxaCambioTbl,MATCH(B13,ListaMoedas,0),3),1)</f>
        <v/>
      </c>
      <c r="E13" s="16">
        <f>C13*D13</f>
        <v/>
      </c>
      <c r="F13" s="32">
        <f>E13/$E$14</f>
        <v/>
      </c>
      <c r="G13" s="22" t="inlineStr">
        <is>
          <t>Reserva de segurança</t>
        </is>
      </c>
    </row>
    <row r="14">
      <c r="A14" s="33" t="inlineStr">
        <is>
          <t>TOTAL</t>
        </is>
      </c>
      <c r="B14" s="34" t="n"/>
      <c r="C14" s="34" t="n"/>
      <c r="D14" s="34" t="n"/>
      <c r="E14" s="35">
        <f>SUM(E4:E13)</f>
        <v/>
      </c>
      <c r="F14" s="36">
        <f>SUM(F4:F13)</f>
        <v/>
      </c>
      <c r="G14" s="34" t="n"/>
    </row>
  </sheetData>
  <mergeCells count="1">
    <mergeCell ref="A1:G1"/>
  </mergeCells>
  <dataValidations count="1">
    <dataValidation sqref="B4:B13" showDropDown="0" showInputMessage="0" showErrorMessage="0" allowBlank="0" type="list">
      <formula1>=ListaMoedas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J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8" customWidth="1" min="4" max="4"/>
    <col width="9" customWidth="1" min="5" max="5"/>
    <col width="14" customWidth="1" min="6" max="6"/>
    <col width="12" customWidth="1" min="7" max="7"/>
    <col width="15" customWidth="1" min="8" max="8"/>
    <col width="14" customWidth="1" min="9" max="9"/>
    <col width="22" customWidth="1" min="10" max="10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1" t="inlineStr">
        <is>
          <t>REGISTRO DE DESPESAS (GASTOS REAIS)</t>
        </is>
      </c>
    </row>
    <row r="2">
      <c r="A2" s="17" t="inlineStr">
        <is>
          <t>Linhas 4-8 são EXEMPLOS. Substitua pelos seus gastos reais. Preencha Data, Descrição, Categoria, Forma de Pagamento, Moeda e Valor — o resto é calculado.</t>
        </is>
      </c>
    </row>
    <row r="3" ht="30" customHeight="1">
      <c r="A3" s="11" t="inlineStr">
        <is>
          <t>Data</t>
        </is>
      </c>
      <c r="B3" s="11" t="inlineStr">
        <is>
          <t>Descrição</t>
        </is>
      </c>
      <c r="C3" s="11" t="inlineStr">
        <is>
          <t>Categoria</t>
        </is>
      </c>
      <c r="D3" s="11" t="inlineStr">
        <is>
          <t>Forma de
Pagamento</t>
        </is>
      </c>
      <c r="E3" s="11" t="inlineStr">
        <is>
          <t>Moeda</t>
        </is>
      </c>
      <c r="F3" s="11" t="inlineStr">
        <is>
          <t>Valor
(Moeda Local)</t>
        </is>
      </c>
      <c r="G3" s="11" t="inlineStr">
        <is>
          <t>Taxa de
Câmbio</t>
        </is>
      </c>
      <c r="H3" s="11" t="inlineStr">
        <is>
          <t>Valor
(Moeda Base)</t>
        </is>
      </c>
      <c r="I3" s="11" t="inlineStr">
        <is>
          <t>Pago por</t>
        </is>
      </c>
      <c r="J3" s="11" t="inlineStr">
        <is>
          <t>Notas</t>
        </is>
      </c>
    </row>
    <row r="4">
      <c r="A4" s="23" t="n">
        <v>46275</v>
      </c>
      <c r="B4" s="26" t="inlineStr">
        <is>
          <t>Check-in hotel Lisboa</t>
        </is>
      </c>
      <c r="C4" s="26" t="inlineStr">
        <is>
          <t>Hospedagem</t>
        </is>
      </c>
      <c r="D4" s="26" t="inlineStr">
        <is>
          <t>Cartão de Crédito</t>
        </is>
      </c>
      <c r="E4" s="26" t="inlineStr">
        <is>
          <t>EUR</t>
        </is>
      </c>
      <c r="F4" s="25" t="n">
        <v>420</v>
      </c>
      <c r="G4" s="27">
        <f>IF(E4="","",IFERROR(INDEX(TaxaCambioTbl,MATCH(E4,ListaMoedas,0),3),1))</f>
        <v/>
      </c>
      <c r="H4" s="13">
        <f>IF(F4="","",F4*G4)</f>
        <v/>
      </c>
      <c r="I4" s="26" t="inlineStr">
        <is>
          <t>Ana</t>
        </is>
      </c>
      <c r="J4" s="26" t="n"/>
    </row>
    <row r="5">
      <c r="A5" s="23" t="n">
        <v>46275</v>
      </c>
      <c r="B5" s="26" t="inlineStr">
        <is>
          <t>Jantar de chegada</t>
        </is>
      </c>
      <c r="C5" s="26" t="inlineStr">
        <is>
          <t>Alimentação</t>
        </is>
      </c>
      <c r="D5" s="26" t="inlineStr">
        <is>
          <t>Dinheiro</t>
        </is>
      </c>
      <c r="E5" s="26" t="inlineStr">
        <is>
          <t>EUR</t>
        </is>
      </c>
      <c r="F5" s="25" t="n">
        <v>38.5</v>
      </c>
      <c r="G5" s="27">
        <f>IF(E5="","",IFERROR(INDEX(TaxaCambioTbl,MATCH(E5,ListaMoedas,0),3),1))</f>
        <v/>
      </c>
      <c r="H5" s="13">
        <f>IF(F5="","",F5*G5)</f>
        <v/>
      </c>
      <c r="I5" s="26" t="inlineStr">
        <is>
          <t>Carlos</t>
        </is>
      </c>
      <c r="J5" s="26" t="n"/>
    </row>
    <row r="6">
      <c r="A6" s="23" t="n">
        <v>46276</v>
      </c>
      <c r="B6" s="26" t="inlineStr">
        <is>
          <t>Passe metrô 3 dias</t>
        </is>
      </c>
      <c r="C6" s="26" t="inlineStr">
        <is>
          <t>Transporte Local</t>
        </is>
      </c>
      <c r="D6" s="26" t="inlineStr">
        <is>
          <t>Pix</t>
        </is>
      </c>
      <c r="E6" s="26" t="inlineStr">
        <is>
          <t>EUR</t>
        </is>
      </c>
      <c r="F6" s="25" t="n">
        <v>18</v>
      </c>
      <c r="G6" s="27">
        <f>IF(E6="","",IFERROR(INDEX(TaxaCambioTbl,MATCH(E6,ListaMoedas,0),3),1))</f>
        <v/>
      </c>
      <c r="H6" s="13">
        <f>IF(F6="","",F6*G6)</f>
        <v/>
      </c>
      <c r="I6" s="26" t="inlineStr">
        <is>
          <t>Ana</t>
        </is>
      </c>
      <c r="J6" s="26" t="n"/>
    </row>
    <row r="7">
      <c r="A7" s="23" t="n">
        <v>46277</v>
      </c>
      <c r="B7" s="26" t="inlineStr">
        <is>
          <t>Tour Sintra dia inteiro</t>
        </is>
      </c>
      <c r="C7" s="26" t="inlineStr">
        <is>
          <t>Passeios e Atividades</t>
        </is>
      </c>
      <c r="D7" s="26" t="inlineStr">
        <is>
          <t>Cartão de Crédito</t>
        </is>
      </c>
      <c r="E7" s="26" t="inlineStr">
        <is>
          <t>EUR</t>
        </is>
      </c>
      <c r="F7" s="25" t="n">
        <v>65</v>
      </c>
      <c r="G7" s="27">
        <f>IF(E7="","",IFERROR(INDEX(TaxaCambioTbl,MATCH(E7,ListaMoedas,0),3),1))</f>
        <v/>
      </c>
      <c r="H7" s="13">
        <f>IF(F7="","",F7*G7)</f>
        <v/>
      </c>
      <c r="I7" s="26" t="inlineStr">
        <is>
          <t>Carlos</t>
        </is>
      </c>
      <c r="J7" s="26" t="n"/>
    </row>
    <row r="8">
      <c r="A8" s="23" t="n">
        <v>46278</v>
      </c>
      <c r="B8" s="26" t="inlineStr">
        <is>
          <t>e-SIM 10 dias dados</t>
        </is>
      </c>
      <c r="C8" s="26" t="inlineStr">
        <is>
          <t>Comunicação (Chip/Internet)</t>
        </is>
      </c>
      <c r="D8" s="26" t="inlineStr">
        <is>
          <t>Cartão de Débito</t>
        </is>
      </c>
      <c r="E8" s="26" t="inlineStr">
        <is>
          <t>EUR</t>
        </is>
      </c>
      <c r="F8" s="25" t="n">
        <v>22</v>
      </c>
      <c r="G8" s="27">
        <f>IF(E8="","",IFERROR(INDEX(TaxaCambioTbl,MATCH(E8,ListaMoedas,0),3),1))</f>
        <v/>
      </c>
      <c r="H8" s="13">
        <f>IF(F8="","",F8*G8)</f>
        <v/>
      </c>
      <c r="I8" s="26" t="inlineStr">
        <is>
          <t>Ana</t>
        </is>
      </c>
      <c r="J8" s="26" t="n"/>
    </row>
    <row r="9">
      <c r="A9" s="28" t="n"/>
      <c r="B9" s="12" t="n"/>
      <c r="C9" s="12" t="n"/>
      <c r="D9" s="12" t="n"/>
      <c r="E9" s="30" t="n"/>
      <c r="F9" s="29" t="n"/>
      <c r="G9" s="27">
        <f>IF(E9="","",IFERROR(INDEX(TaxaCambioTbl,MATCH(E9,ListaMoedas,0),3),1))</f>
        <v/>
      </c>
      <c r="H9" s="13">
        <f>IF(F9="","",F9*G9)</f>
        <v/>
      </c>
      <c r="I9" s="12" t="n"/>
      <c r="J9" s="12" t="n"/>
    </row>
    <row r="10">
      <c r="A10" s="28" t="n"/>
      <c r="B10" s="12" t="n"/>
      <c r="C10" s="12" t="n"/>
      <c r="D10" s="12" t="n"/>
      <c r="E10" s="30" t="n"/>
      <c r="F10" s="29" t="n"/>
      <c r="G10" s="27">
        <f>IF(E10="","",IFERROR(INDEX(TaxaCambioTbl,MATCH(E10,ListaMoedas,0),3),1))</f>
        <v/>
      </c>
      <c r="H10" s="13">
        <f>IF(F10="","",F10*G10)</f>
        <v/>
      </c>
      <c r="I10" s="12" t="n"/>
      <c r="J10" s="12" t="n"/>
    </row>
    <row r="11">
      <c r="A11" s="28" t="n"/>
      <c r="B11" s="12" t="n"/>
      <c r="C11" s="12" t="n"/>
      <c r="D11" s="12" t="n"/>
      <c r="E11" s="30" t="n"/>
      <c r="F11" s="29" t="n"/>
      <c r="G11" s="27">
        <f>IF(E11="","",IFERROR(INDEX(TaxaCambioTbl,MATCH(E11,ListaMoedas,0),3),1))</f>
        <v/>
      </c>
      <c r="H11" s="13">
        <f>IF(F11="","",F11*G11)</f>
        <v/>
      </c>
      <c r="I11" s="12" t="n"/>
      <c r="J11" s="12" t="n"/>
    </row>
    <row r="12">
      <c r="A12" s="28" t="n"/>
      <c r="B12" s="12" t="n"/>
      <c r="C12" s="12" t="n"/>
      <c r="D12" s="12" t="n"/>
      <c r="E12" s="30" t="n"/>
      <c r="F12" s="29" t="n"/>
      <c r="G12" s="27">
        <f>IF(E12="","",IFERROR(INDEX(TaxaCambioTbl,MATCH(E12,ListaMoedas,0),3),1))</f>
        <v/>
      </c>
      <c r="H12" s="13">
        <f>IF(F12="","",F12*G12)</f>
        <v/>
      </c>
      <c r="I12" s="12" t="n"/>
      <c r="J12" s="12" t="n"/>
    </row>
    <row r="13">
      <c r="A13" s="28" t="n"/>
      <c r="B13" s="12" t="n"/>
      <c r="C13" s="12" t="n"/>
      <c r="D13" s="12" t="n"/>
      <c r="E13" s="30" t="n"/>
      <c r="F13" s="29" t="n"/>
      <c r="G13" s="27">
        <f>IF(E13="","",IFERROR(INDEX(TaxaCambioTbl,MATCH(E13,ListaMoedas,0),3),1))</f>
        <v/>
      </c>
      <c r="H13" s="13">
        <f>IF(F13="","",F13*G13)</f>
        <v/>
      </c>
      <c r="I13" s="12" t="n"/>
      <c r="J13" s="12" t="n"/>
    </row>
    <row r="14">
      <c r="A14" s="28" t="n"/>
      <c r="B14" s="12" t="n"/>
      <c r="C14" s="12" t="n"/>
      <c r="D14" s="12" t="n"/>
      <c r="E14" s="30" t="n"/>
      <c r="F14" s="29" t="n"/>
      <c r="G14" s="27">
        <f>IF(E14="","",IFERROR(INDEX(TaxaCambioTbl,MATCH(E14,ListaMoedas,0),3),1))</f>
        <v/>
      </c>
      <c r="H14" s="13">
        <f>IF(F14="","",F14*G14)</f>
        <v/>
      </c>
      <c r="I14" s="12" t="n"/>
      <c r="J14" s="12" t="n"/>
    </row>
    <row r="15">
      <c r="A15" s="28" t="n"/>
      <c r="B15" s="12" t="n"/>
      <c r="C15" s="12" t="n"/>
      <c r="D15" s="12" t="n"/>
      <c r="E15" s="30" t="n"/>
      <c r="F15" s="29" t="n"/>
      <c r="G15" s="27">
        <f>IF(E15="","",IFERROR(INDEX(TaxaCambioTbl,MATCH(E15,ListaMoedas,0),3),1))</f>
        <v/>
      </c>
      <c r="H15" s="13">
        <f>IF(F15="","",F15*G15)</f>
        <v/>
      </c>
      <c r="I15" s="12" t="n"/>
      <c r="J15" s="12" t="n"/>
    </row>
    <row r="16">
      <c r="A16" s="28" t="n"/>
      <c r="B16" s="12" t="n"/>
      <c r="C16" s="12" t="n"/>
      <c r="D16" s="12" t="n"/>
      <c r="E16" s="30" t="n"/>
      <c r="F16" s="29" t="n"/>
      <c r="G16" s="27">
        <f>IF(E16="","",IFERROR(INDEX(TaxaCambioTbl,MATCH(E16,ListaMoedas,0),3),1))</f>
        <v/>
      </c>
      <c r="H16" s="13">
        <f>IF(F16="","",F16*G16)</f>
        <v/>
      </c>
      <c r="I16" s="12" t="n"/>
      <c r="J16" s="12" t="n"/>
    </row>
    <row r="17">
      <c r="A17" s="28" t="n"/>
      <c r="B17" s="12" t="n"/>
      <c r="C17" s="12" t="n"/>
      <c r="D17" s="12" t="n"/>
      <c r="E17" s="30" t="n"/>
      <c r="F17" s="29" t="n"/>
      <c r="G17" s="27">
        <f>IF(E17="","",IFERROR(INDEX(TaxaCambioTbl,MATCH(E17,ListaMoedas,0),3),1))</f>
        <v/>
      </c>
      <c r="H17" s="13">
        <f>IF(F17="","",F17*G17)</f>
        <v/>
      </c>
      <c r="I17" s="12" t="n"/>
      <c r="J17" s="12" t="n"/>
    </row>
    <row r="18">
      <c r="A18" s="28" t="n"/>
      <c r="B18" s="12" t="n"/>
      <c r="C18" s="12" t="n"/>
      <c r="D18" s="12" t="n"/>
      <c r="E18" s="30" t="n"/>
      <c r="F18" s="29" t="n"/>
      <c r="G18" s="27">
        <f>IF(E18="","",IFERROR(INDEX(TaxaCambioTbl,MATCH(E18,ListaMoedas,0),3),1))</f>
        <v/>
      </c>
      <c r="H18" s="13">
        <f>IF(F18="","",F18*G18)</f>
        <v/>
      </c>
      <c r="I18" s="12" t="n"/>
      <c r="J18" s="12" t="n"/>
    </row>
    <row r="19">
      <c r="A19" s="28" t="n"/>
      <c r="B19" s="12" t="n"/>
      <c r="C19" s="12" t="n"/>
      <c r="D19" s="12" t="n"/>
      <c r="E19" s="30" t="n"/>
      <c r="F19" s="29" t="n"/>
      <c r="G19" s="27">
        <f>IF(E19="","",IFERROR(INDEX(TaxaCambioTbl,MATCH(E19,ListaMoedas,0),3),1))</f>
        <v/>
      </c>
      <c r="H19" s="13">
        <f>IF(F19="","",F19*G19)</f>
        <v/>
      </c>
      <c r="I19" s="12" t="n"/>
      <c r="J19" s="12" t="n"/>
    </row>
    <row r="20">
      <c r="A20" s="28" t="n"/>
      <c r="B20" s="12" t="n"/>
      <c r="C20" s="12" t="n"/>
      <c r="D20" s="12" t="n"/>
      <c r="E20" s="30" t="n"/>
      <c r="F20" s="29" t="n"/>
      <c r="G20" s="27">
        <f>IF(E20="","",IFERROR(INDEX(TaxaCambioTbl,MATCH(E20,ListaMoedas,0),3),1))</f>
        <v/>
      </c>
      <c r="H20" s="13">
        <f>IF(F20="","",F20*G20)</f>
        <v/>
      </c>
      <c r="I20" s="12" t="n"/>
      <c r="J20" s="12" t="n"/>
    </row>
    <row r="21">
      <c r="A21" s="28" t="n"/>
      <c r="B21" s="12" t="n"/>
      <c r="C21" s="12" t="n"/>
      <c r="D21" s="12" t="n"/>
      <c r="E21" s="30" t="n"/>
      <c r="F21" s="29" t="n"/>
      <c r="G21" s="27">
        <f>IF(E21="","",IFERROR(INDEX(TaxaCambioTbl,MATCH(E21,ListaMoedas,0),3),1))</f>
        <v/>
      </c>
      <c r="H21" s="13">
        <f>IF(F21="","",F21*G21)</f>
        <v/>
      </c>
      <c r="I21" s="12" t="n"/>
      <c r="J21" s="12" t="n"/>
    </row>
    <row r="22">
      <c r="A22" s="28" t="n"/>
      <c r="B22" s="12" t="n"/>
      <c r="C22" s="12" t="n"/>
      <c r="D22" s="12" t="n"/>
      <c r="E22" s="30" t="n"/>
      <c r="F22" s="29" t="n"/>
      <c r="G22" s="27">
        <f>IF(E22="","",IFERROR(INDEX(TaxaCambioTbl,MATCH(E22,ListaMoedas,0),3),1))</f>
        <v/>
      </c>
      <c r="H22" s="13">
        <f>IF(F22="","",F22*G22)</f>
        <v/>
      </c>
      <c r="I22" s="12" t="n"/>
      <c r="J22" s="12" t="n"/>
    </row>
    <row r="23">
      <c r="A23" s="28" t="n"/>
      <c r="B23" s="12" t="n"/>
      <c r="C23" s="12" t="n"/>
      <c r="D23" s="12" t="n"/>
      <c r="E23" s="30" t="n"/>
      <c r="F23" s="29" t="n"/>
      <c r="G23" s="27">
        <f>IF(E23="","",IFERROR(INDEX(TaxaCambioTbl,MATCH(E23,ListaMoedas,0),3),1))</f>
        <v/>
      </c>
      <c r="H23" s="13">
        <f>IF(F23="","",F23*G23)</f>
        <v/>
      </c>
      <c r="I23" s="12" t="n"/>
      <c r="J23" s="12" t="n"/>
    </row>
    <row r="24">
      <c r="A24" s="28" t="n"/>
      <c r="B24" s="12" t="n"/>
      <c r="C24" s="12" t="n"/>
      <c r="D24" s="12" t="n"/>
      <c r="E24" s="30" t="n"/>
      <c r="F24" s="29" t="n"/>
      <c r="G24" s="27">
        <f>IF(E24="","",IFERROR(INDEX(TaxaCambioTbl,MATCH(E24,ListaMoedas,0),3),1))</f>
        <v/>
      </c>
      <c r="H24" s="13">
        <f>IF(F24="","",F24*G24)</f>
        <v/>
      </c>
      <c r="I24" s="12" t="n"/>
      <c r="J24" s="12" t="n"/>
    </row>
    <row r="25">
      <c r="A25" s="28" t="n"/>
      <c r="B25" s="12" t="n"/>
      <c r="C25" s="12" t="n"/>
      <c r="D25" s="12" t="n"/>
      <c r="E25" s="30" t="n"/>
      <c r="F25" s="29" t="n"/>
      <c r="G25" s="27">
        <f>IF(E25="","",IFERROR(INDEX(TaxaCambioTbl,MATCH(E25,ListaMoedas,0),3),1))</f>
        <v/>
      </c>
      <c r="H25" s="13">
        <f>IF(F25="","",F25*G25)</f>
        <v/>
      </c>
      <c r="I25" s="12" t="n"/>
      <c r="J25" s="12" t="n"/>
    </row>
    <row r="26">
      <c r="A26" s="28" t="n"/>
      <c r="B26" s="12" t="n"/>
      <c r="C26" s="12" t="n"/>
      <c r="D26" s="12" t="n"/>
      <c r="E26" s="30" t="n"/>
      <c r="F26" s="29" t="n"/>
      <c r="G26" s="27">
        <f>IF(E26="","",IFERROR(INDEX(TaxaCambioTbl,MATCH(E26,ListaMoedas,0),3),1))</f>
        <v/>
      </c>
      <c r="H26" s="13">
        <f>IF(F26="","",F26*G26)</f>
        <v/>
      </c>
      <c r="I26" s="12" t="n"/>
      <c r="J26" s="12" t="n"/>
    </row>
    <row r="27">
      <c r="A27" s="28" t="n"/>
      <c r="B27" s="12" t="n"/>
      <c r="C27" s="12" t="n"/>
      <c r="D27" s="12" t="n"/>
      <c r="E27" s="30" t="n"/>
      <c r="F27" s="29" t="n"/>
      <c r="G27" s="27">
        <f>IF(E27="","",IFERROR(INDEX(TaxaCambioTbl,MATCH(E27,ListaMoedas,0),3),1))</f>
        <v/>
      </c>
      <c r="H27" s="13">
        <f>IF(F27="","",F27*G27)</f>
        <v/>
      </c>
      <c r="I27" s="12" t="n"/>
      <c r="J27" s="12" t="n"/>
    </row>
    <row r="28">
      <c r="A28" s="28" t="n"/>
      <c r="B28" s="12" t="n"/>
      <c r="C28" s="12" t="n"/>
      <c r="D28" s="12" t="n"/>
      <c r="E28" s="30" t="n"/>
      <c r="F28" s="29" t="n"/>
      <c r="G28" s="27">
        <f>IF(E28="","",IFERROR(INDEX(TaxaCambioTbl,MATCH(E28,ListaMoedas,0),3),1))</f>
        <v/>
      </c>
      <c r="H28" s="13">
        <f>IF(F28="","",F28*G28)</f>
        <v/>
      </c>
      <c r="I28" s="12" t="n"/>
      <c r="J28" s="12" t="n"/>
    </row>
    <row r="29">
      <c r="A29" s="28" t="n"/>
      <c r="B29" s="12" t="n"/>
      <c r="C29" s="12" t="n"/>
      <c r="D29" s="12" t="n"/>
      <c r="E29" s="30" t="n"/>
      <c r="F29" s="29" t="n"/>
      <c r="G29" s="27">
        <f>IF(E29="","",IFERROR(INDEX(TaxaCambioTbl,MATCH(E29,ListaMoedas,0),3),1))</f>
        <v/>
      </c>
      <c r="H29" s="13">
        <f>IF(F29="","",F29*G29)</f>
        <v/>
      </c>
      <c r="I29" s="12" t="n"/>
      <c r="J29" s="12" t="n"/>
    </row>
    <row r="30">
      <c r="A30" s="28" t="n"/>
      <c r="B30" s="12" t="n"/>
      <c r="C30" s="12" t="n"/>
      <c r="D30" s="12" t="n"/>
      <c r="E30" s="30" t="n"/>
      <c r="F30" s="29" t="n"/>
      <c r="G30" s="27">
        <f>IF(E30="","",IFERROR(INDEX(TaxaCambioTbl,MATCH(E30,ListaMoedas,0),3),1))</f>
        <v/>
      </c>
      <c r="H30" s="13">
        <f>IF(F30="","",F30*G30)</f>
        <v/>
      </c>
      <c r="I30" s="12" t="n"/>
      <c r="J30" s="12" t="n"/>
    </row>
    <row r="31">
      <c r="A31" s="28" t="n"/>
      <c r="B31" s="12" t="n"/>
      <c r="C31" s="12" t="n"/>
      <c r="D31" s="12" t="n"/>
      <c r="E31" s="30" t="n"/>
      <c r="F31" s="29" t="n"/>
      <c r="G31" s="27">
        <f>IF(E31="","",IFERROR(INDEX(TaxaCambioTbl,MATCH(E31,ListaMoedas,0),3),1))</f>
        <v/>
      </c>
      <c r="H31" s="13">
        <f>IF(F31="","",F31*G31)</f>
        <v/>
      </c>
      <c r="I31" s="12" t="n"/>
      <c r="J31" s="12" t="n"/>
    </row>
    <row r="32">
      <c r="A32" s="28" t="n"/>
      <c r="B32" s="12" t="n"/>
      <c r="C32" s="12" t="n"/>
      <c r="D32" s="12" t="n"/>
      <c r="E32" s="30" t="n"/>
      <c r="F32" s="29" t="n"/>
      <c r="G32" s="27">
        <f>IF(E32="","",IFERROR(INDEX(TaxaCambioTbl,MATCH(E32,ListaMoedas,0),3),1))</f>
        <v/>
      </c>
      <c r="H32" s="13">
        <f>IF(F32="","",F32*G32)</f>
        <v/>
      </c>
      <c r="I32" s="12" t="n"/>
      <c r="J32" s="12" t="n"/>
    </row>
    <row r="33">
      <c r="A33" s="28" t="n"/>
      <c r="B33" s="12" t="n"/>
      <c r="C33" s="12" t="n"/>
      <c r="D33" s="12" t="n"/>
      <c r="E33" s="30" t="n"/>
      <c r="F33" s="29" t="n"/>
      <c r="G33" s="27">
        <f>IF(E33="","",IFERROR(INDEX(TaxaCambioTbl,MATCH(E33,ListaMoedas,0),3),1))</f>
        <v/>
      </c>
      <c r="H33" s="13">
        <f>IF(F33="","",F33*G33)</f>
        <v/>
      </c>
      <c r="I33" s="12" t="n"/>
      <c r="J33" s="12" t="n"/>
    </row>
    <row r="34">
      <c r="A34" s="28" t="n"/>
      <c r="B34" s="12" t="n"/>
      <c r="C34" s="12" t="n"/>
      <c r="D34" s="12" t="n"/>
      <c r="E34" s="30" t="n"/>
      <c r="F34" s="29" t="n"/>
      <c r="G34" s="27">
        <f>IF(E34="","",IFERROR(INDEX(TaxaCambioTbl,MATCH(E34,ListaMoedas,0),3),1))</f>
        <v/>
      </c>
      <c r="H34" s="13">
        <f>IF(F34="","",F34*G34)</f>
        <v/>
      </c>
      <c r="I34" s="12" t="n"/>
      <c r="J34" s="12" t="n"/>
    </row>
    <row r="35">
      <c r="A35" s="28" t="n"/>
      <c r="B35" s="12" t="n"/>
      <c r="C35" s="12" t="n"/>
      <c r="D35" s="12" t="n"/>
      <c r="E35" s="30" t="n"/>
      <c r="F35" s="29" t="n"/>
      <c r="G35" s="27">
        <f>IF(E35="","",IFERROR(INDEX(TaxaCambioTbl,MATCH(E35,ListaMoedas,0),3),1))</f>
        <v/>
      </c>
      <c r="H35" s="13">
        <f>IF(F35="","",F35*G35)</f>
        <v/>
      </c>
      <c r="I35" s="12" t="n"/>
      <c r="J35" s="12" t="n"/>
    </row>
    <row r="36">
      <c r="A36" s="28" t="n"/>
      <c r="B36" s="12" t="n"/>
      <c r="C36" s="12" t="n"/>
      <c r="D36" s="12" t="n"/>
      <c r="E36" s="30" t="n"/>
      <c r="F36" s="29" t="n"/>
      <c r="G36" s="27">
        <f>IF(E36="","",IFERROR(INDEX(TaxaCambioTbl,MATCH(E36,ListaMoedas,0),3),1))</f>
        <v/>
      </c>
      <c r="H36" s="13">
        <f>IF(F36="","",F36*G36)</f>
        <v/>
      </c>
      <c r="I36" s="12" t="n"/>
      <c r="J36" s="12" t="n"/>
    </row>
    <row r="37">
      <c r="A37" s="28" t="n"/>
      <c r="B37" s="12" t="n"/>
      <c r="C37" s="12" t="n"/>
      <c r="D37" s="12" t="n"/>
      <c r="E37" s="30" t="n"/>
      <c r="F37" s="29" t="n"/>
      <c r="G37" s="27">
        <f>IF(E37="","",IFERROR(INDEX(TaxaCambioTbl,MATCH(E37,ListaMoedas,0),3),1))</f>
        <v/>
      </c>
      <c r="H37" s="13">
        <f>IF(F37="","",F37*G37)</f>
        <v/>
      </c>
      <c r="I37" s="12" t="n"/>
      <c r="J37" s="12" t="n"/>
    </row>
    <row r="38">
      <c r="A38" s="28" t="n"/>
      <c r="B38" s="12" t="n"/>
      <c r="C38" s="12" t="n"/>
      <c r="D38" s="12" t="n"/>
      <c r="E38" s="30" t="n"/>
      <c r="F38" s="29" t="n"/>
      <c r="G38" s="27">
        <f>IF(E38="","",IFERROR(INDEX(TaxaCambioTbl,MATCH(E38,ListaMoedas,0),3),1))</f>
        <v/>
      </c>
      <c r="H38" s="13">
        <f>IF(F38="","",F38*G38)</f>
        <v/>
      </c>
      <c r="I38" s="12" t="n"/>
      <c r="J38" s="12" t="n"/>
    </row>
    <row r="39">
      <c r="A39" s="33" t="inlineStr">
        <is>
          <t>TOTAL</t>
        </is>
      </c>
      <c r="B39" s="34" t="n"/>
      <c r="C39" s="34" t="n"/>
      <c r="D39" s="34" t="n"/>
      <c r="E39" s="34" t="n"/>
      <c r="F39" s="34" t="n"/>
      <c r="G39" s="34" t="n"/>
      <c r="H39" s="35">
        <f>SUM(H4:H38)</f>
        <v/>
      </c>
      <c r="I39" s="34" t="n"/>
      <c r="J39" s="34" t="n"/>
    </row>
  </sheetData>
  <mergeCells count="1">
    <mergeCell ref="A1:J1"/>
  </mergeCells>
  <dataValidations count="3">
    <dataValidation sqref="C4:C38" showDropDown="0" showInputMessage="0" showErrorMessage="0" allowBlank="1" type="list">
      <formula1>=CatDespesa</formula1>
    </dataValidation>
    <dataValidation sqref="D4:D38" showDropDown="0" showInputMessage="0" showErrorMessage="0" allowBlank="1" type="list">
      <formula1>=FormaPagto</formula1>
    </dataValidation>
    <dataValidation sqref="E4:E38" showDropDown="0" showInputMessage="0" showErrorMessage="0" allowBlank="1" type="list">
      <formula1>=ListaMoedas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16" customWidth="1" min="4" max="4"/>
    <col width="9" customWidth="1" min="5" max="5"/>
    <col width="12" customWidth="1" min="6" max="6"/>
    <col width="16" customWidth="1" min="7" max="7"/>
    <col width="12" customWidth="1" min="8" max="8"/>
    <col width="18" customWidth="1" min="9" max="9"/>
    <col width="26" customWidth="1" min="10" max="10"/>
  </cols>
  <sheetData>
    <row r="1" ht="28" customHeight="1">
      <c r="A1" s="1" t="inlineStr">
        <is>
          <t>LISTA DE COMPRAS DA VIAGEM</t>
        </is>
      </c>
    </row>
    <row r="2">
      <c r="A2" s="17" t="inlineStr">
        <is>
          <t>Linhas 4-9 são EXEMPLOS. Marque "Sim" em Comprado assim que adquirir o item.</t>
        </is>
      </c>
    </row>
    <row r="3" ht="30" customHeight="1">
      <c r="A3" s="11" t="inlineStr">
        <is>
          <t>Item</t>
        </is>
      </c>
      <c r="B3" s="11" t="inlineStr">
        <is>
          <t>Categoria</t>
        </is>
      </c>
      <c r="C3" s="11" t="inlineStr">
        <is>
          <t>Prioridade</t>
        </is>
      </c>
      <c r="D3" s="11" t="inlineStr">
        <is>
          <t>Preço Estimado
(Moeda Local)</t>
        </is>
      </c>
      <c r="E3" s="11" t="inlineStr">
        <is>
          <t>Moeda</t>
        </is>
      </c>
      <c r="F3" s="11" t="inlineStr">
        <is>
          <t>Taxa de
Câmbio</t>
        </is>
      </c>
      <c r="G3" s="11" t="inlineStr">
        <is>
          <t>Preço Estimado
(Moeda Base)</t>
        </is>
      </c>
      <c r="H3" s="11" t="inlineStr">
        <is>
          <t>Comprado?</t>
        </is>
      </c>
      <c r="I3" s="11" t="inlineStr">
        <is>
          <t>Loja/Local</t>
        </is>
      </c>
      <c r="J3" s="11" t="inlineStr">
        <is>
          <t>Notas</t>
        </is>
      </c>
    </row>
    <row r="4">
      <c r="A4" s="26" t="inlineStr">
        <is>
          <t>Vinho do Porto (garrafa)</t>
        </is>
      </c>
      <c r="B4" s="24" t="inlineStr">
        <is>
          <t>Alimentos e Bebidas</t>
        </is>
      </c>
      <c r="C4" s="24" t="inlineStr">
        <is>
          <t>Média</t>
        </is>
      </c>
      <c r="D4" s="25" t="n">
        <v>15</v>
      </c>
      <c r="E4" s="26" t="inlineStr">
        <is>
          <t>EUR</t>
        </is>
      </c>
      <c r="F4" s="27">
        <f>IF(E4="","",IFERROR(INDEX(TaxaCambioTbl,MATCH(E4,ListaMoedas,0),3),1))</f>
        <v/>
      </c>
      <c r="G4" s="13">
        <f>IF(D4="","",D4*F4)</f>
        <v/>
      </c>
      <c r="H4" s="24" t="inlineStr">
        <is>
          <t>Não</t>
        </is>
      </c>
      <c r="I4" s="24" t="inlineStr">
        <is>
          <t>Adega em Porto</t>
        </is>
      </c>
      <c r="J4" s="37" t="n"/>
    </row>
    <row r="5">
      <c r="A5" s="26" t="inlineStr">
        <is>
          <t>Azulejos decorativos</t>
        </is>
      </c>
      <c r="B5" s="24" t="inlineStr">
        <is>
          <t>Presentes/Souvenirs</t>
        </is>
      </c>
      <c r="C5" s="24" t="inlineStr">
        <is>
          <t>Baixa</t>
        </is>
      </c>
      <c r="D5" s="25" t="n">
        <v>25</v>
      </c>
      <c r="E5" s="26" t="inlineStr">
        <is>
          <t>EUR</t>
        </is>
      </c>
      <c r="F5" s="27">
        <f>IF(E5="","",IFERROR(INDEX(TaxaCambioTbl,MATCH(E5,ListaMoedas,0),3),1))</f>
        <v/>
      </c>
      <c r="G5" s="13">
        <f>IF(D5="","",D5*F5)</f>
        <v/>
      </c>
      <c r="H5" s="24" t="inlineStr">
        <is>
          <t>Não</t>
        </is>
      </c>
      <c r="I5" s="24" t="inlineStr">
        <is>
          <t>Feira da Ladra</t>
        </is>
      </c>
      <c r="J5" s="37" t="n"/>
    </row>
    <row r="6">
      <c r="A6" s="26" t="inlineStr">
        <is>
          <t>Tênis de couro português</t>
        </is>
      </c>
      <c r="B6" s="24" t="inlineStr">
        <is>
          <t>Roupas e Calçados</t>
        </is>
      </c>
      <c r="C6" s="24" t="inlineStr">
        <is>
          <t>Alta</t>
        </is>
      </c>
      <c r="D6" s="25" t="n">
        <v>90</v>
      </c>
      <c r="E6" s="26" t="inlineStr">
        <is>
          <t>EUR</t>
        </is>
      </c>
      <c r="F6" s="27">
        <f>IF(E6="","",IFERROR(INDEX(TaxaCambioTbl,MATCH(E6,ListaMoedas,0),3),1))</f>
        <v/>
      </c>
      <c r="G6" s="13">
        <f>IF(D6="","",D6*F6)</f>
        <v/>
      </c>
      <c r="H6" s="24" t="inlineStr">
        <is>
          <t>Não</t>
        </is>
      </c>
      <c r="I6" s="24" t="inlineStr">
        <is>
          <t>Loja no Chiado</t>
        </is>
      </c>
      <c r="J6" s="37" t="n"/>
    </row>
    <row r="7">
      <c r="A7" s="26" t="inlineStr">
        <is>
          <t>Presente para família (3 un.)</t>
        </is>
      </c>
      <c r="B7" s="24" t="inlineStr">
        <is>
          <t>Presentes/Souvenirs</t>
        </is>
      </c>
      <c r="C7" s="24" t="inlineStr">
        <is>
          <t>Alta</t>
        </is>
      </c>
      <c r="D7" s="25" t="n">
        <v>60</v>
      </c>
      <c r="E7" s="26" t="inlineStr">
        <is>
          <t>EUR</t>
        </is>
      </c>
      <c r="F7" s="27">
        <f>IF(E7="","",IFERROR(INDEX(TaxaCambioTbl,MATCH(E7,ListaMoedas,0),3),1))</f>
        <v/>
      </c>
      <c r="G7" s="13">
        <f>IF(D7="","",D7*F7)</f>
        <v/>
      </c>
      <c r="H7" s="24" t="inlineStr">
        <is>
          <t>Não</t>
        </is>
      </c>
      <c r="I7" s="24" t="inlineStr">
        <is>
          <t>A definir</t>
        </is>
      </c>
      <c r="J7" s="37" t="n"/>
    </row>
    <row r="8">
      <c r="A8" s="26" t="inlineStr">
        <is>
          <t>Pastéis de nata (caixa)</t>
        </is>
      </c>
      <c r="B8" s="24" t="inlineStr">
        <is>
          <t>Alimentos e Bebidas</t>
        </is>
      </c>
      <c r="C8" s="24" t="inlineStr">
        <is>
          <t>Baixa</t>
        </is>
      </c>
      <c r="D8" s="25" t="n">
        <v>12</v>
      </c>
      <c r="E8" s="26" t="inlineStr">
        <is>
          <t>EUR</t>
        </is>
      </c>
      <c r="F8" s="27">
        <f>IF(E8="","",IFERROR(INDEX(TaxaCambioTbl,MATCH(E8,ListaMoedas,0),3),1))</f>
        <v/>
      </c>
      <c r="G8" s="13">
        <f>IF(D8="","",D8*F8)</f>
        <v/>
      </c>
      <c r="H8" s="24" t="inlineStr">
        <is>
          <t>Não</t>
        </is>
      </c>
      <c r="I8" s="24" t="inlineStr">
        <is>
          <t>Pastelaria</t>
        </is>
      </c>
      <c r="J8" s="37" t="n"/>
    </row>
    <row r="9">
      <c r="A9" s="26" t="inlineStr">
        <is>
          <t>Adaptador de tomada extra</t>
        </is>
      </c>
      <c r="B9" s="24" t="inlineStr">
        <is>
          <t>Eletrônicos</t>
        </is>
      </c>
      <c r="C9" s="24" t="inlineStr">
        <is>
          <t>Média</t>
        </is>
      </c>
      <c r="D9" s="25" t="n">
        <v>8</v>
      </c>
      <c r="E9" s="26" t="inlineStr">
        <is>
          <t>EUR</t>
        </is>
      </c>
      <c r="F9" s="27">
        <f>IF(E9="","",IFERROR(INDEX(TaxaCambioTbl,MATCH(E9,ListaMoedas,0),3),1))</f>
        <v/>
      </c>
      <c r="G9" s="13">
        <f>IF(D9="","",D9*F9)</f>
        <v/>
      </c>
      <c r="H9" s="24" t="inlineStr">
        <is>
          <t>Sim</t>
        </is>
      </c>
      <c r="I9" s="24" t="inlineStr">
        <is>
          <t>Comprado no Brasil</t>
        </is>
      </c>
      <c r="J9" s="37" t="n"/>
    </row>
    <row r="10">
      <c r="A10" s="12" t="n"/>
      <c r="B10" s="12" t="n"/>
      <c r="C10" s="12" t="n"/>
      <c r="D10" s="29" t="n"/>
      <c r="E10" s="30" t="n"/>
      <c r="F10" s="27">
        <f>IF(E10="","",IFERROR(INDEX(TaxaCambioTbl,MATCH(E10,ListaMoedas,0),3),1))</f>
        <v/>
      </c>
      <c r="G10" s="13">
        <f>IF(D10="","",D10*F10)</f>
        <v/>
      </c>
      <c r="H10" s="12" t="n"/>
      <c r="I10" s="12" t="n"/>
      <c r="J10" s="38" t="n"/>
    </row>
    <row r="11">
      <c r="A11" s="12" t="n"/>
      <c r="B11" s="12" t="n"/>
      <c r="C11" s="12" t="n"/>
      <c r="D11" s="29" t="n"/>
      <c r="E11" s="30" t="n"/>
      <c r="F11" s="27">
        <f>IF(E11="","",IFERROR(INDEX(TaxaCambioTbl,MATCH(E11,ListaMoedas,0),3),1))</f>
        <v/>
      </c>
      <c r="G11" s="13">
        <f>IF(D11="","",D11*F11)</f>
        <v/>
      </c>
      <c r="H11" s="12" t="n"/>
      <c r="I11" s="12" t="n"/>
      <c r="J11" s="38" t="n"/>
    </row>
    <row r="12">
      <c r="A12" s="12" t="n"/>
      <c r="B12" s="12" t="n"/>
      <c r="C12" s="12" t="n"/>
      <c r="D12" s="29" t="n"/>
      <c r="E12" s="30" t="n"/>
      <c r="F12" s="27">
        <f>IF(E12="","",IFERROR(INDEX(TaxaCambioTbl,MATCH(E12,ListaMoedas,0),3),1))</f>
        <v/>
      </c>
      <c r="G12" s="13">
        <f>IF(D12="","",D12*F12)</f>
        <v/>
      </c>
      <c r="H12" s="12" t="n"/>
      <c r="I12" s="12" t="n"/>
      <c r="J12" s="38" t="n"/>
    </row>
    <row r="13">
      <c r="A13" s="12" t="n"/>
      <c r="B13" s="12" t="n"/>
      <c r="C13" s="12" t="n"/>
      <c r="D13" s="29" t="n"/>
      <c r="E13" s="30" t="n"/>
      <c r="F13" s="27">
        <f>IF(E13="","",IFERROR(INDEX(TaxaCambioTbl,MATCH(E13,ListaMoedas,0),3),1))</f>
        <v/>
      </c>
      <c r="G13" s="13">
        <f>IF(D13="","",D13*F13)</f>
        <v/>
      </c>
      <c r="H13" s="12" t="n"/>
      <c r="I13" s="12" t="n"/>
      <c r="J13" s="38" t="n"/>
    </row>
    <row r="14">
      <c r="A14" s="12" t="n"/>
      <c r="B14" s="12" t="n"/>
      <c r="C14" s="12" t="n"/>
      <c r="D14" s="29" t="n"/>
      <c r="E14" s="30" t="n"/>
      <c r="F14" s="27">
        <f>IF(E14="","",IFERROR(INDEX(TaxaCambioTbl,MATCH(E14,ListaMoedas,0),3),1))</f>
        <v/>
      </c>
      <c r="G14" s="13">
        <f>IF(D14="","",D14*F14)</f>
        <v/>
      </c>
      <c r="H14" s="12" t="n"/>
      <c r="I14" s="12" t="n"/>
      <c r="J14" s="38" t="n"/>
    </row>
    <row r="15">
      <c r="A15" s="12" t="n"/>
      <c r="B15" s="12" t="n"/>
      <c r="C15" s="12" t="n"/>
      <c r="D15" s="29" t="n"/>
      <c r="E15" s="30" t="n"/>
      <c r="F15" s="27">
        <f>IF(E15="","",IFERROR(INDEX(TaxaCambioTbl,MATCH(E15,ListaMoedas,0),3),1))</f>
        <v/>
      </c>
      <c r="G15" s="13">
        <f>IF(D15="","",D15*F15)</f>
        <v/>
      </c>
      <c r="H15" s="12" t="n"/>
      <c r="I15" s="12" t="n"/>
      <c r="J15" s="38" t="n"/>
    </row>
    <row r="16">
      <c r="A16" s="12" t="n"/>
      <c r="B16" s="12" t="n"/>
      <c r="C16" s="12" t="n"/>
      <c r="D16" s="29" t="n"/>
      <c r="E16" s="30" t="n"/>
      <c r="F16" s="27">
        <f>IF(E16="","",IFERROR(INDEX(TaxaCambioTbl,MATCH(E16,ListaMoedas,0),3),1))</f>
        <v/>
      </c>
      <c r="G16" s="13">
        <f>IF(D16="","",D16*F16)</f>
        <v/>
      </c>
      <c r="H16" s="12" t="n"/>
      <c r="I16" s="12" t="n"/>
      <c r="J16" s="38" t="n"/>
    </row>
    <row r="17">
      <c r="A17" s="12" t="n"/>
      <c r="B17" s="12" t="n"/>
      <c r="C17" s="12" t="n"/>
      <c r="D17" s="29" t="n"/>
      <c r="E17" s="30" t="n"/>
      <c r="F17" s="27">
        <f>IF(E17="","",IFERROR(INDEX(TaxaCambioTbl,MATCH(E17,ListaMoedas,0),3),1))</f>
        <v/>
      </c>
      <c r="G17" s="13">
        <f>IF(D17="","",D17*F17)</f>
        <v/>
      </c>
      <c r="H17" s="12" t="n"/>
      <c r="I17" s="12" t="n"/>
      <c r="J17" s="38" t="n"/>
    </row>
    <row r="18">
      <c r="A18" s="12" t="n"/>
      <c r="B18" s="12" t="n"/>
      <c r="C18" s="12" t="n"/>
      <c r="D18" s="29" t="n"/>
      <c r="E18" s="30" t="n"/>
      <c r="F18" s="27">
        <f>IF(E18="","",IFERROR(INDEX(TaxaCambioTbl,MATCH(E18,ListaMoedas,0),3),1))</f>
        <v/>
      </c>
      <c r="G18" s="13">
        <f>IF(D18="","",D18*F18)</f>
        <v/>
      </c>
      <c r="H18" s="12" t="n"/>
      <c r="I18" s="12" t="n"/>
      <c r="J18" s="38" t="n"/>
    </row>
    <row r="19">
      <c r="A19" s="12" t="n"/>
      <c r="B19" s="12" t="n"/>
      <c r="C19" s="12" t="n"/>
      <c r="D19" s="29" t="n"/>
      <c r="E19" s="30" t="n"/>
      <c r="F19" s="27">
        <f>IF(E19="","",IFERROR(INDEX(TaxaCambioTbl,MATCH(E19,ListaMoedas,0),3),1))</f>
        <v/>
      </c>
      <c r="G19" s="13">
        <f>IF(D19="","",D19*F19)</f>
        <v/>
      </c>
      <c r="H19" s="12" t="n"/>
      <c r="I19" s="12" t="n"/>
      <c r="J19" s="38" t="n"/>
    </row>
    <row r="20">
      <c r="A20" s="12" t="n"/>
      <c r="B20" s="12" t="n"/>
      <c r="C20" s="12" t="n"/>
      <c r="D20" s="29" t="n"/>
      <c r="E20" s="30" t="n"/>
      <c r="F20" s="27">
        <f>IF(E20="","",IFERROR(INDEX(TaxaCambioTbl,MATCH(E20,ListaMoedas,0),3),1))</f>
        <v/>
      </c>
      <c r="G20" s="13">
        <f>IF(D20="","",D20*F20)</f>
        <v/>
      </c>
      <c r="H20" s="12" t="n"/>
      <c r="I20" s="12" t="n"/>
      <c r="J20" s="38" t="n"/>
    </row>
    <row r="21">
      <c r="A21" s="12" t="n"/>
      <c r="B21" s="12" t="n"/>
      <c r="C21" s="12" t="n"/>
      <c r="D21" s="29" t="n"/>
      <c r="E21" s="30" t="n"/>
      <c r="F21" s="27">
        <f>IF(E21="","",IFERROR(INDEX(TaxaCambioTbl,MATCH(E21,ListaMoedas,0),3),1))</f>
        <v/>
      </c>
      <c r="G21" s="13">
        <f>IF(D21="","",D21*F21)</f>
        <v/>
      </c>
      <c r="H21" s="12" t="n"/>
      <c r="I21" s="12" t="n"/>
      <c r="J21" s="38" t="n"/>
    </row>
    <row r="22">
      <c r="A22" s="12" t="n"/>
      <c r="B22" s="12" t="n"/>
      <c r="C22" s="12" t="n"/>
      <c r="D22" s="29" t="n"/>
      <c r="E22" s="30" t="n"/>
      <c r="F22" s="27">
        <f>IF(E22="","",IFERROR(INDEX(TaxaCambioTbl,MATCH(E22,ListaMoedas,0),3),1))</f>
        <v/>
      </c>
      <c r="G22" s="13">
        <f>IF(D22="","",D22*F22)</f>
        <v/>
      </c>
      <c r="H22" s="12" t="n"/>
      <c r="I22" s="12" t="n"/>
      <c r="J22" s="38" t="n"/>
    </row>
    <row r="23">
      <c r="A23" s="12" t="n"/>
      <c r="B23" s="12" t="n"/>
      <c r="C23" s="12" t="n"/>
      <c r="D23" s="29" t="n"/>
      <c r="E23" s="30" t="n"/>
      <c r="F23" s="27">
        <f>IF(E23="","",IFERROR(INDEX(TaxaCambioTbl,MATCH(E23,ListaMoedas,0),3),1))</f>
        <v/>
      </c>
      <c r="G23" s="13">
        <f>IF(D23="","",D23*F23)</f>
        <v/>
      </c>
      <c r="H23" s="12" t="n"/>
      <c r="I23" s="12" t="n"/>
      <c r="J23" s="38" t="n"/>
    </row>
    <row r="24">
      <c r="A24" s="12" t="n"/>
      <c r="B24" s="12" t="n"/>
      <c r="C24" s="12" t="n"/>
      <c r="D24" s="29" t="n"/>
      <c r="E24" s="30" t="n"/>
      <c r="F24" s="27">
        <f>IF(E24="","",IFERROR(INDEX(TaxaCambioTbl,MATCH(E24,ListaMoedas,0),3),1))</f>
        <v/>
      </c>
      <c r="G24" s="13">
        <f>IF(D24="","",D24*F24)</f>
        <v/>
      </c>
      <c r="H24" s="12" t="n"/>
      <c r="I24" s="12" t="n"/>
      <c r="J24" s="38" t="n"/>
    </row>
    <row r="25">
      <c r="A25" s="33" t="inlineStr">
        <is>
          <t>TOTAL ESTIMADO</t>
        </is>
      </c>
      <c r="B25" s="34" t="n"/>
      <c r="C25" s="34" t="n"/>
      <c r="D25" s="34" t="n"/>
      <c r="E25" s="34" t="n"/>
      <c r="F25" s="34" t="n"/>
      <c r="G25" s="35">
        <f>SUM(G4:G24)</f>
        <v/>
      </c>
      <c r="H25" s="34" t="n"/>
      <c r="I25" s="34" t="n"/>
      <c r="J25" s="34" t="n"/>
    </row>
    <row r="27">
      <c r="A27" s="2" t="inlineStr">
        <is>
          <t>Já comprado (Moeda Base):</t>
        </is>
      </c>
      <c r="B27" s="39">
        <f>SUMIF(H4:H24,"Sim",G4:G24)</f>
        <v/>
      </c>
    </row>
    <row r="28">
      <c r="A28" s="2" t="inlineStr">
        <is>
          <t>Falta comprar (Moeda Base):</t>
        </is>
      </c>
      <c r="B28" s="39">
        <f>SUMIF(H4:H24,"Não",G4:G24)</f>
        <v/>
      </c>
    </row>
  </sheetData>
  <mergeCells count="1">
    <mergeCell ref="A1:J1"/>
  </mergeCells>
  <conditionalFormatting sqref="H4:H24">
    <cfRule type="cellIs" priority="1" operator="equal" dxfId="0">
      <formula>"Sim"</formula>
    </cfRule>
  </conditionalFormatting>
  <conditionalFormatting sqref="C4:C24">
    <cfRule type="cellIs" priority="2" operator="equal" dxfId="2">
      <formula>"Alta"</formula>
    </cfRule>
  </conditionalFormatting>
  <dataValidations count="4">
    <dataValidation sqref="B4:B24" showDropDown="0" showInputMessage="0" showErrorMessage="0" allowBlank="1" type="list">
      <formula1>=CatCompras</formula1>
    </dataValidation>
    <dataValidation sqref="C4:C24" showDropDown="0" showInputMessage="0" showErrorMessage="0" allowBlank="1" type="list">
      <formula1>=Prioridade</formula1>
    </dataValidation>
    <dataValidation sqref="E4:E24" showDropDown="0" showInputMessage="0" showErrorMessage="0" allowBlank="1" type="list">
      <formula1>=ListaMoedas</formula1>
    </dataValidation>
    <dataValidation sqref="H4:H24" showDropDown="0" showInputMessage="0" showErrorMessage="0" allowBlank="1" type="list">
      <formula1>=StatusCompra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O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2" customWidth="1" min="4" max="4"/>
    <col width="7" customWidth="1" min="5" max="5"/>
    <col width="9" customWidth="1" min="6" max="6"/>
    <col width="9" customWidth="1" min="7" max="7"/>
    <col width="16" customWidth="1" min="8" max="8"/>
    <col width="16" customWidth="1" min="9" max="9"/>
    <col width="14" customWidth="1" min="10" max="10"/>
    <col width="10" customWidth="1" min="11" max="11"/>
    <col width="12" customWidth="1" min="12" max="12"/>
    <col width="14" customWidth="1" min="13" max="13"/>
    <col width="10" customWidth="1" min="14" max="14"/>
    <col width="26" customWidth="1" min="15" max="15"/>
  </cols>
  <sheetData>
    <row r="1" ht="28" customHeight="1">
      <c r="A1" s="1" t="inlineStr">
        <is>
          <t>HISTÓRICO DE VIAGENS</t>
        </is>
      </c>
    </row>
    <row r="2">
      <c r="A2" s="17" t="inlineStr">
        <is>
          <t>Linhas 4-6 são EXEMPLOS de viagens passadas (valores já na moeda base). Some suas próprias viagens depois de cada retorno para criar seu histórico de gastos.</t>
        </is>
      </c>
    </row>
    <row r="3" ht="30" customHeight="1">
      <c r="A3" s="11" t="inlineStr">
        <is>
          <t>Viagem</t>
        </is>
      </c>
      <c r="B3" s="11" t="inlineStr">
        <is>
          <t>Destino</t>
        </is>
      </c>
      <c r="C3" s="11" t="inlineStr">
        <is>
          <t>Data
Início</t>
        </is>
      </c>
      <c r="D3" s="11" t="inlineStr">
        <is>
          <t>Data
Fim</t>
        </is>
      </c>
      <c r="E3" s="11" t="inlineStr">
        <is>
          <t>Dias</t>
        </is>
      </c>
      <c r="F3" s="11" t="inlineStr">
        <is>
          <t>Nº
Pessoas</t>
        </is>
      </c>
      <c r="G3" s="11" t="inlineStr">
        <is>
          <t>Moeda
Local</t>
        </is>
      </c>
      <c r="H3" s="11" t="inlineStr">
        <is>
          <t>Orçamento
(Moeda Base)</t>
        </is>
      </c>
      <c r="I3" s="11" t="inlineStr">
        <is>
          <t>Gasto Real
(Moeda Base)</t>
        </is>
      </c>
      <c r="J3" s="11" t="inlineStr">
        <is>
          <t>Diferença</t>
        </is>
      </c>
      <c r="K3" s="11" t="inlineStr">
        <is>
          <t>% Usado</t>
        </is>
      </c>
      <c r="L3" s="11" t="inlineStr">
        <is>
          <t>Custo/Dia</t>
        </is>
      </c>
      <c r="M3" s="11" t="inlineStr">
        <is>
          <t>Custo/Pessoa/
Dia</t>
        </is>
      </c>
      <c r="N3" s="11" t="inlineStr">
        <is>
          <t>Nota
(1-5)</t>
        </is>
      </c>
      <c r="O3" s="11" t="inlineStr">
        <is>
          <t>Notas</t>
        </is>
      </c>
    </row>
    <row r="4">
      <c r="A4" s="26" t="inlineStr">
        <is>
          <t>Buenos Aires 2024</t>
        </is>
      </c>
      <c r="B4" s="26" t="inlineStr">
        <is>
          <t>Buenos Aires, Argentina</t>
        </is>
      </c>
      <c r="C4" s="23" t="n">
        <v>45296</v>
      </c>
      <c r="D4" s="23" t="n">
        <v>45303</v>
      </c>
      <c r="E4" s="38">
        <f>IF(OR(C4="",D4=""),"",D4-C4+1)</f>
        <v/>
      </c>
      <c r="F4" s="26" t="n">
        <v>2</v>
      </c>
      <c r="G4" s="26" t="inlineStr">
        <is>
          <t>ARS</t>
        </is>
      </c>
      <c r="H4" s="40" t="n">
        <v>4500</v>
      </c>
      <c r="I4" s="40" t="n">
        <v>4820</v>
      </c>
      <c r="J4" s="13">
        <f>IF(OR(H4="",I4=""),"",H4-I4)</f>
        <v/>
      </c>
      <c r="K4" s="14">
        <f>IF(OR(H4="",H4=0),"",I4/H4)</f>
        <v/>
      </c>
      <c r="L4" s="13">
        <f>IF(OR(I4="",E4="",E4=0),"",I4/E4)</f>
        <v/>
      </c>
      <c r="M4" s="13">
        <f>IF(OR(L4="",F4="",F4=0),"",L4/F4)</f>
        <v/>
      </c>
      <c r="N4" s="26" t="n">
        <v>4</v>
      </c>
      <c r="O4" s="26" t="inlineStr">
        <is>
          <t>Ótima viagem, câmbio favoreceu</t>
        </is>
      </c>
    </row>
    <row r="5">
      <c r="A5" s="26" t="inlineStr">
        <is>
          <t>Nova York 2024</t>
        </is>
      </c>
      <c r="B5" s="26" t="inlineStr">
        <is>
          <t>Nova York, EUA</t>
        </is>
      </c>
      <c r="C5" s="23" t="n">
        <v>45616</v>
      </c>
      <c r="D5" s="23" t="n">
        <v>45623</v>
      </c>
      <c r="E5" s="38">
        <f>IF(OR(C5="",D5=""),"",D5-C5+1)</f>
        <v/>
      </c>
      <c r="F5" s="26" t="n">
        <v>1</v>
      </c>
      <c r="G5" s="26" t="inlineStr">
        <is>
          <t>USD</t>
        </is>
      </c>
      <c r="H5" s="40" t="n">
        <v>8000</v>
      </c>
      <c r="I5" s="40" t="n">
        <v>7650</v>
      </c>
      <c r="J5" s="13">
        <f>IF(OR(H5="",I5=""),"",H5-I5)</f>
        <v/>
      </c>
      <c r="K5" s="14">
        <f>IF(OR(H5="",H5=0),"",I5/H5)</f>
        <v/>
      </c>
      <c r="L5" s="13">
        <f>IF(OR(I5="",E5="",E5=0),"",I5/E5)</f>
        <v/>
      </c>
      <c r="M5" s="13">
        <f>IF(OR(L5="",F5="",F5=0),"",L5/F5)</f>
        <v/>
      </c>
      <c r="N5" s="26" t="n">
        <v>5</v>
      </c>
      <c r="O5" s="26" t="inlineStr">
        <is>
          <t>Ficou abaixo do orçamento</t>
        </is>
      </c>
    </row>
    <row r="6">
      <c r="A6" s="26" t="inlineStr">
        <is>
          <t>Bariloche 2025</t>
        </is>
      </c>
      <c r="B6" s="26" t="inlineStr">
        <is>
          <t>Bariloche, Argentina</t>
        </is>
      </c>
      <c r="C6" s="23" t="n">
        <v>45848</v>
      </c>
      <c r="D6" s="23" t="n">
        <v>45855</v>
      </c>
      <c r="E6" s="38">
        <f>IF(OR(C6="",D6=""),"",D6-C6+1)</f>
        <v/>
      </c>
      <c r="F6" s="26" t="n">
        <v>2</v>
      </c>
      <c r="G6" s="26" t="inlineStr">
        <is>
          <t>ARS</t>
        </is>
      </c>
      <c r="H6" s="40" t="n">
        <v>6000</v>
      </c>
      <c r="I6" s="40" t="n">
        <v>6300</v>
      </c>
      <c r="J6" s="13">
        <f>IF(OR(H6="",I6=""),"",H6-I6)</f>
        <v/>
      </c>
      <c r="K6" s="14">
        <f>IF(OR(H6="",H6=0),"",I6/H6)</f>
        <v/>
      </c>
      <c r="L6" s="13">
        <f>IF(OR(I6="",E6="",E6=0),"",I6/E6)</f>
        <v/>
      </c>
      <c r="M6" s="13">
        <f>IF(OR(L6="",F6="",F6=0),"",L6/F6)</f>
        <v/>
      </c>
      <c r="N6" s="26" t="n">
        <v>4</v>
      </c>
      <c r="O6" s="26" t="inlineStr">
        <is>
          <t>Estourou um pouco em passeios</t>
        </is>
      </c>
    </row>
    <row r="7">
      <c r="A7" s="12" t="n"/>
      <c r="B7" s="12" t="n"/>
      <c r="C7" s="41" t="n"/>
      <c r="D7" s="41" t="n"/>
      <c r="E7" s="38">
        <f>IF(OR(C7="",D7=""),"",D7-C7+1)</f>
        <v/>
      </c>
      <c r="F7" s="12" t="n"/>
      <c r="G7" s="12" t="n"/>
      <c r="H7" s="42" t="n"/>
      <c r="I7" s="42" t="n"/>
      <c r="J7" s="13">
        <f>IF(OR(H7="",I7=""),"",H7-I7)</f>
        <v/>
      </c>
      <c r="K7" s="14">
        <f>IF(OR(H7="",H7=0),"",I7/H7)</f>
        <v/>
      </c>
      <c r="L7" s="13">
        <f>IF(OR(I7="",E7="",E7=0),"",I7/E7)</f>
        <v/>
      </c>
      <c r="M7" s="13">
        <f>IF(OR(L7="",F7="",F7=0),"",L7/F7)</f>
        <v/>
      </c>
      <c r="N7" s="12" t="n"/>
      <c r="O7" s="12" t="n"/>
    </row>
    <row r="8">
      <c r="A8" s="12" t="n"/>
      <c r="B8" s="12" t="n"/>
      <c r="C8" s="41" t="n"/>
      <c r="D8" s="41" t="n"/>
      <c r="E8" s="38">
        <f>IF(OR(C8="",D8=""),"",D8-C8+1)</f>
        <v/>
      </c>
      <c r="F8" s="12" t="n"/>
      <c r="G8" s="12" t="n"/>
      <c r="H8" s="42" t="n"/>
      <c r="I8" s="42" t="n"/>
      <c r="J8" s="13">
        <f>IF(OR(H8="",I8=""),"",H8-I8)</f>
        <v/>
      </c>
      <c r="K8" s="14">
        <f>IF(OR(H8="",H8=0),"",I8/H8)</f>
        <v/>
      </c>
      <c r="L8" s="13">
        <f>IF(OR(I8="",E8="",E8=0),"",I8/E8)</f>
        <v/>
      </c>
      <c r="M8" s="13">
        <f>IF(OR(L8="",F8="",F8=0),"",L8/F8)</f>
        <v/>
      </c>
      <c r="N8" s="12" t="n"/>
      <c r="O8" s="12" t="n"/>
    </row>
    <row r="9">
      <c r="A9" s="12" t="n"/>
      <c r="B9" s="12" t="n"/>
      <c r="C9" s="41" t="n"/>
      <c r="D9" s="41" t="n"/>
      <c r="E9" s="38">
        <f>IF(OR(C9="",D9=""),"",D9-C9+1)</f>
        <v/>
      </c>
      <c r="F9" s="12" t="n"/>
      <c r="G9" s="12" t="n"/>
      <c r="H9" s="42" t="n"/>
      <c r="I9" s="42" t="n"/>
      <c r="J9" s="13">
        <f>IF(OR(H9="",I9=""),"",H9-I9)</f>
        <v/>
      </c>
      <c r="K9" s="14">
        <f>IF(OR(H9="",H9=0),"",I9/H9)</f>
        <v/>
      </c>
      <c r="L9" s="13">
        <f>IF(OR(I9="",E9="",E9=0),"",I9/E9)</f>
        <v/>
      </c>
      <c r="M9" s="13">
        <f>IF(OR(L9="",F9="",F9=0),"",L9/F9)</f>
        <v/>
      </c>
      <c r="N9" s="12" t="n"/>
      <c r="O9" s="12" t="n"/>
    </row>
    <row r="10">
      <c r="A10" s="12" t="n"/>
      <c r="B10" s="12" t="n"/>
      <c r="C10" s="41" t="n"/>
      <c r="D10" s="41" t="n"/>
      <c r="E10" s="38">
        <f>IF(OR(C10="",D10=""),"",D10-C10+1)</f>
        <v/>
      </c>
      <c r="F10" s="12" t="n"/>
      <c r="G10" s="12" t="n"/>
      <c r="H10" s="42" t="n"/>
      <c r="I10" s="42" t="n"/>
      <c r="J10" s="13">
        <f>IF(OR(H10="",I10=""),"",H10-I10)</f>
        <v/>
      </c>
      <c r="K10" s="14">
        <f>IF(OR(H10="",H10=0),"",I10/H10)</f>
        <v/>
      </c>
      <c r="L10" s="13">
        <f>IF(OR(I10="",E10="",E10=0),"",I10/E10)</f>
        <v/>
      </c>
      <c r="M10" s="13">
        <f>IF(OR(L10="",F10="",F10=0),"",L10/F10)</f>
        <v/>
      </c>
      <c r="N10" s="12" t="n"/>
      <c r="O10" s="12" t="n"/>
    </row>
    <row r="11">
      <c r="A11" s="12" t="n"/>
      <c r="B11" s="12" t="n"/>
      <c r="C11" s="41" t="n"/>
      <c r="D11" s="41" t="n"/>
      <c r="E11" s="38">
        <f>IF(OR(C11="",D11=""),"",D11-C11+1)</f>
        <v/>
      </c>
      <c r="F11" s="12" t="n"/>
      <c r="G11" s="12" t="n"/>
      <c r="H11" s="42" t="n"/>
      <c r="I11" s="42" t="n"/>
      <c r="J11" s="13">
        <f>IF(OR(H11="",I11=""),"",H11-I11)</f>
        <v/>
      </c>
      <c r="K11" s="14">
        <f>IF(OR(H11="",H11=0),"",I11/H11)</f>
        <v/>
      </c>
      <c r="L11" s="13">
        <f>IF(OR(I11="",E11="",E11=0),"",I11/E11)</f>
        <v/>
      </c>
      <c r="M11" s="13">
        <f>IF(OR(L11="",F11="",F11=0),"",L11/F11)</f>
        <v/>
      </c>
      <c r="N11" s="12" t="n"/>
      <c r="O11" s="12" t="n"/>
    </row>
    <row r="12">
      <c r="A12" s="12" t="n"/>
      <c r="B12" s="12" t="n"/>
      <c r="C12" s="41" t="n"/>
      <c r="D12" s="41" t="n"/>
      <c r="E12" s="38">
        <f>IF(OR(C12="",D12=""),"",D12-C12+1)</f>
        <v/>
      </c>
      <c r="F12" s="12" t="n"/>
      <c r="G12" s="12" t="n"/>
      <c r="H12" s="42" t="n"/>
      <c r="I12" s="42" t="n"/>
      <c r="J12" s="13">
        <f>IF(OR(H12="",I12=""),"",H12-I12)</f>
        <v/>
      </c>
      <c r="K12" s="14">
        <f>IF(OR(H12="",H12=0),"",I12/H12)</f>
        <v/>
      </c>
      <c r="L12" s="13">
        <f>IF(OR(I12="",E12="",E12=0),"",I12/E12)</f>
        <v/>
      </c>
      <c r="M12" s="13">
        <f>IF(OR(L12="",F12="",F12=0),"",L12/F12)</f>
        <v/>
      </c>
      <c r="N12" s="12" t="n"/>
      <c r="O12" s="12" t="n"/>
    </row>
    <row r="13">
      <c r="A13" s="12" t="n"/>
      <c r="B13" s="12" t="n"/>
      <c r="C13" s="41" t="n"/>
      <c r="D13" s="41" t="n"/>
      <c r="E13" s="38">
        <f>IF(OR(C13="",D13=""),"",D13-C13+1)</f>
        <v/>
      </c>
      <c r="F13" s="12" t="n"/>
      <c r="G13" s="12" t="n"/>
      <c r="H13" s="42" t="n"/>
      <c r="I13" s="42" t="n"/>
      <c r="J13" s="13">
        <f>IF(OR(H13="",I13=""),"",H13-I13)</f>
        <v/>
      </c>
      <c r="K13" s="14">
        <f>IF(OR(H13="",H13=0),"",I13/H13)</f>
        <v/>
      </c>
      <c r="L13" s="13">
        <f>IF(OR(I13="",E13="",E13=0),"",I13/E13)</f>
        <v/>
      </c>
      <c r="M13" s="13">
        <f>IF(OR(L13="",F13="",F13=0),"",L13/F13)</f>
        <v/>
      </c>
      <c r="N13" s="12" t="n"/>
      <c r="O13" s="12" t="n"/>
    </row>
    <row r="14">
      <c r="A14" s="12" t="n"/>
      <c r="B14" s="12" t="n"/>
      <c r="C14" s="41" t="n"/>
      <c r="D14" s="41" t="n"/>
      <c r="E14" s="38">
        <f>IF(OR(C14="",D14=""),"",D14-C14+1)</f>
        <v/>
      </c>
      <c r="F14" s="12" t="n"/>
      <c r="G14" s="12" t="n"/>
      <c r="H14" s="42" t="n"/>
      <c r="I14" s="42" t="n"/>
      <c r="J14" s="13">
        <f>IF(OR(H14="",I14=""),"",H14-I14)</f>
        <v/>
      </c>
      <c r="K14" s="14">
        <f>IF(OR(H14="",H14=0),"",I14/H14)</f>
        <v/>
      </c>
      <c r="L14" s="13">
        <f>IF(OR(I14="",E14="",E14=0),"",I14/E14)</f>
        <v/>
      </c>
      <c r="M14" s="13">
        <f>IF(OR(L14="",F14="",F14=0),"",L14/F14)</f>
        <v/>
      </c>
      <c r="N14" s="12" t="n"/>
      <c r="O14" s="12" t="n"/>
    </row>
    <row r="15">
      <c r="A15" s="12" t="n"/>
      <c r="B15" s="12" t="n"/>
      <c r="C15" s="41" t="n"/>
      <c r="D15" s="41" t="n"/>
      <c r="E15" s="38">
        <f>IF(OR(C15="",D15=""),"",D15-C15+1)</f>
        <v/>
      </c>
      <c r="F15" s="12" t="n"/>
      <c r="G15" s="12" t="n"/>
      <c r="H15" s="42" t="n"/>
      <c r="I15" s="42" t="n"/>
      <c r="J15" s="13">
        <f>IF(OR(H15="",I15=""),"",H15-I15)</f>
        <v/>
      </c>
      <c r="K15" s="14">
        <f>IF(OR(H15="",H15=0),"",I15/H15)</f>
        <v/>
      </c>
      <c r="L15" s="13">
        <f>IF(OR(I15="",E15="",E15=0),"",I15/E15)</f>
        <v/>
      </c>
      <c r="M15" s="13">
        <f>IF(OR(L15="",F15="",F15=0),"",L15/F15)</f>
        <v/>
      </c>
      <c r="N15" s="12" t="n"/>
      <c r="O15" s="12" t="n"/>
    </row>
    <row r="16">
      <c r="A16" s="12" t="n"/>
      <c r="B16" s="12" t="n"/>
      <c r="C16" s="41" t="n"/>
      <c r="D16" s="41" t="n"/>
      <c r="E16" s="38">
        <f>IF(OR(C16="",D16=""),"",D16-C16+1)</f>
        <v/>
      </c>
      <c r="F16" s="12" t="n"/>
      <c r="G16" s="12" t="n"/>
      <c r="H16" s="42" t="n"/>
      <c r="I16" s="42" t="n"/>
      <c r="J16" s="13">
        <f>IF(OR(H16="",I16=""),"",H16-I16)</f>
        <v/>
      </c>
      <c r="K16" s="14">
        <f>IF(OR(H16="",H16=0),"",I16/H16)</f>
        <v/>
      </c>
      <c r="L16" s="13">
        <f>IF(OR(I16="",E16="",E16=0),"",I16/E16)</f>
        <v/>
      </c>
      <c r="M16" s="13">
        <f>IF(OR(L16="",F16="",F16=0),"",L16/F16)</f>
        <v/>
      </c>
      <c r="N16" s="12" t="n"/>
      <c r="O16" s="12" t="n"/>
    </row>
    <row r="17">
      <c r="A17" s="12" t="n"/>
      <c r="B17" s="12" t="n"/>
      <c r="C17" s="41" t="n"/>
      <c r="D17" s="41" t="n"/>
      <c r="E17" s="38">
        <f>IF(OR(C17="",D17=""),"",D17-C17+1)</f>
        <v/>
      </c>
      <c r="F17" s="12" t="n"/>
      <c r="G17" s="12" t="n"/>
      <c r="H17" s="42" t="n"/>
      <c r="I17" s="42" t="n"/>
      <c r="J17" s="13">
        <f>IF(OR(H17="",I17=""),"",H17-I17)</f>
        <v/>
      </c>
      <c r="K17" s="14">
        <f>IF(OR(H17="",H17=0),"",I17/H17)</f>
        <v/>
      </c>
      <c r="L17" s="13">
        <f>IF(OR(I17="",E17="",E17=0),"",I17/E17)</f>
        <v/>
      </c>
      <c r="M17" s="13">
        <f>IF(OR(L17="",F17="",F17=0),"",L17/F17)</f>
        <v/>
      </c>
      <c r="N17" s="12" t="n"/>
      <c r="O17" s="12" t="n"/>
    </row>
    <row r="18">
      <c r="A18" s="12" t="n"/>
      <c r="B18" s="12" t="n"/>
      <c r="C18" s="41" t="n"/>
      <c r="D18" s="41" t="n"/>
      <c r="E18" s="38">
        <f>IF(OR(C18="",D18=""),"",D18-C18+1)</f>
        <v/>
      </c>
      <c r="F18" s="12" t="n"/>
      <c r="G18" s="12" t="n"/>
      <c r="H18" s="42" t="n"/>
      <c r="I18" s="42" t="n"/>
      <c r="J18" s="13">
        <f>IF(OR(H18="",I18=""),"",H18-I18)</f>
        <v/>
      </c>
      <c r="K18" s="14">
        <f>IF(OR(H18="",H18=0),"",I18/H18)</f>
        <v/>
      </c>
      <c r="L18" s="13">
        <f>IF(OR(I18="",E18="",E18=0),"",I18/E18)</f>
        <v/>
      </c>
      <c r="M18" s="13">
        <f>IF(OR(L18="",F18="",F18=0),"",L18/F18)</f>
        <v/>
      </c>
      <c r="N18" s="12" t="n"/>
      <c r="O18" s="12" t="n"/>
    </row>
    <row r="19">
      <c r="A19" s="12" t="n"/>
      <c r="B19" s="12" t="n"/>
      <c r="C19" s="41" t="n"/>
      <c r="D19" s="41" t="n"/>
      <c r="E19" s="38">
        <f>IF(OR(C19="",D19=""),"",D19-C19+1)</f>
        <v/>
      </c>
      <c r="F19" s="12" t="n"/>
      <c r="G19" s="12" t="n"/>
      <c r="H19" s="42" t="n"/>
      <c r="I19" s="42" t="n"/>
      <c r="J19" s="13">
        <f>IF(OR(H19="",I19=""),"",H19-I19)</f>
        <v/>
      </c>
      <c r="K19" s="14">
        <f>IF(OR(H19="",H19=0),"",I19/H19)</f>
        <v/>
      </c>
      <c r="L19" s="13">
        <f>IF(OR(I19="",E19="",E19=0),"",I19/E19)</f>
        <v/>
      </c>
      <c r="M19" s="13">
        <f>IF(OR(L19="",F19="",F19=0),"",L19/F19)</f>
        <v/>
      </c>
      <c r="N19" s="12" t="n"/>
      <c r="O19" s="12" t="n"/>
    </row>
    <row r="20">
      <c r="A20" s="12" t="n"/>
      <c r="B20" s="12" t="n"/>
      <c r="C20" s="41" t="n"/>
      <c r="D20" s="41" t="n"/>
      <c r="E20" s="38">
        <f>IF(OR(C20="",D20=""),"",D20-C20+1)</f>
        <v/>
      </c>
      <c r="F20" s="12" t="n"/>
      <c r="G20" s="12" t="n"/>
      <c r="H20" s="42" t="n"/>
      <c r="I20" s="42" t="n"/>
      <c r="J20" s="13">
        <f>IF(OR(H20="",I20=""),"",H20-I20)</f>
        <v/>
      </c>
      <c r="K20" s="14">
        <f>IF(OR(H20="",H20=0),"",I20/H20)</f>
        <v/>
      </c>
      <c r="L20" s="13">
        <f>IF(OR(I20="",E20="",E20=0),"",I20/E20)</f>
        <v/>
      </c>
      <c r="M20" s="13">
        <f>IF(OR(L20="",F20="",F20=0),"",L20/F20)</f>
        <v/>
      </c>
      <c r="N20" s="12" t="n"/>
      <c r="O20" s="12" t="n"/>
    </row>
    <row r="21">
      <c r="A21" s="12" t="n"/>
      <c r="B21" s="12" t="n"/>
      <c r="C21" s="41" t="n"/>
      <c r="D21" s="41" t="n"/>
      <c r="E21" s="38">
        <f>IF(OR(C21="",D21=""),"",D21-C21+1)</f>
        <v/>
      </c>
      <c r="F21" s="12" t="n"/>
      <c r="G21" s="12" t="n"/>
      <c r="H21" s="42" t="n"/>
      <c r="I21" s="42" t="n"/>
      <c r="J21" s="13">
        <f>IF(OR(H21="",I21=""),"",H21-I21)</f>
        <v/>
      </c>
      <c r="K21" s="14">
        <f>IF(OR(H21="",H21=0),"",I21/H21)</f>
        <v/>
      </c>
      <c r="L21" s="13">
        <f>IF(OR(I21="",E21="",E21=0),"",I21/E21)</f>
        <v/>
      </c>
      <c r="M21" s="13">
        <f>IF(OR(L21="",F21="",F21=0),"",L21/F21)</f>
        <v/>
      </c>
      <c r="N21" s="12" t="n"/>
      <c r="O21" s="12" t="n"/>
    </row>
    <row r="22">
      <c r="A22" s="12" t="n"/>
      <c r="B22" s="12" t="n"/>
      <c r="C22" s="41" t="n"/>
      <c r="D22" s="41" t="n"/>
      <c r="E22" s="38">
        <f>IF(OR(C22="",D22=""),"",D22-C22+1)</f>
        <v/>
      </c>
      <c r="F22" s="12" t="n"/>
      <c r="G22" s="12" t="n"/>
      <c r="H22" s="42" t="n"/>
      <c r="I22" s="42" t="n"/>
      <c r="J22" s="13">
        <f>IF(OR(H22="",I22=""),"",H22-I22)</f>
        <v/>
      </c>
      <c r="K22" s="14">
        <f>IF(OR(H22="",H22=0),"",I22/H22)</f>
        <v/>
      </c>
      <c r="L22" s="13">
        <f>IF(OR(I22="",E22="",E22=0),"",I22/E22)</f>
        <v/>
      </c>
      <c r="M22" s="13">
        <f>IF(OR(L22="",F22="",F22=0),"",L22/F22)</f>
        <v/>
      </c>
      <c r="N22" s="12" t="n"/>
      <c r="O22" s="12" t="n"/>
    </row>
    <row r="23">
      <c r="A23" s="12" t="n"/>
      <c r="B23" s="12" t="n"/>
      <c r="C23" s="41" t="n"/>
      <c r="D23" s="41" t="n"/>
      <c r="E23" s="38">
        <f>IF(OR(C23="",D23=""),"",D23-C23+1)</f>
        <v/>
      </c>
      <c r="F23" s="12" t="n"/>
      <c r="G23" s="12" t="n"/>
      <c r="H23" s="42" t="n"/>
      <c r="I23" s="42" t="n"/>
      <c r="J23" s="13">
        <f>IF(OR(H23="",I23=""),"",H23-I23)</f>
        <v/>
      </c>
      <c r="K23" s="14">
        <f>IF(OR(H23="",H23=0),"",I23/H23)</f>
        <v/>
      </c>
      <c r="L23" s="13">
        <f>IF(OR(I23="",E23="",E23=0),"",I23/E23)</f>
        <v/>
      </c>
      <c r="M23" s="13">
        <f>IF(OR(L23="",F23="",F23=0),"",L23/F23)</f>
        <v/>
      </c>
      <c r="N23" s="12" t="n"/>
      <c r="O23" s="12" t="n"/>
    </row>
    <row r="24">
      <c r="A24" s="12" t="n"/>
      <c r="B24" s="12" t="n"/>
      <c r="C24" s="41" t="n"/>
      <c r="D24" s="41" t="n"/>
      <c r="E24" s="38">
        <f>IF(OR(C24="",D24=""),"",D24-C24+1)</f>
        <v/>
      </c>
      <c r="F24" s="12" t="n"/>
      <c r="G24" s="12" t="n"/>
      <c r="H24" s="42" t="n"/>
      <c r="I24" s="42" t="n"/>
      <c r="J24" s="13">
        <f>IF(OR(H24="",I24=""),"",H24-I24)</f>
        <v/>
      </c>
      <c r="K24" s="14">
        <f>IF(OR(H24="",H24=0),"",I24/H24)</f>
        <v/>
      </c>
      <c r="L24" s="13">
        <f>IF(OR(I24="",E24="",E24=0),"",I24/E24)</f>
        <v/>
      </c>
      <c r="M24" s="13">
        <f>IF(OR(L24="",F24="",F24=0),"",L24/F24)</f>
        <v/>
      </c>
      <c r="N24" s="12" t="n"/>
      <c r="O24" s="12" t="n"/>
    </row>
    <row r="25">
      <c r="A25" s="12" t="n"/>
      <c r="B25" s="12" t="n"/>
      <c r="C25" s="41" t="n"/>
      <c r="D25" s="41" t="n"/>
      <c r="E25" s="38">
        <f>IF(OR(C25="",D25=""),"",D25-C25+1)</f>
        <v/>
      </c>
      <c r="F25" s="12" t="n"/>
      <c r="G25" s="12" t="n"/>
      <c r="H25" s="42" t="n"/>
      <c r="I25" s="42" t="n"/>
      <c r="J25" s="13">
        <f>IF(OR(H25="",I25=""),"",H25-I25)</f>
        <v/>
      </c>
      <c r="K25" s="14">
        <f>IF(OR(H25="",H25=0),"",I25/H25)</f>
        <v/>
      </c>
      <c r="L25" s="13">
        <f>IF(OR(I25="",E25="",E25=0),"",I25/E25)</f>
        <v/>
      </c>
      <c r="M25" s="13">
        <f>IF(OR(L25="",F25="",F25=0),"",L25/F25)</f>
        <v/>
      </c>
      <c r="N25" s="12" t="n"/>
      <c r="O25" s="12" t="n"/>
    </row>
    <row r="26">
      <c r="A26" s="12" t="n"/>
      <c r="B26" s="12" t="n"/>
      <c r="C26" s="41" t="n"/>
      <c r="D26" s="41" t="n"/>
      <c r="E26" s="38">
        <f>IF(OR(C26="",D26=""),"",D26-C26+1)</f>
        <v/>
      </c>
      <c r="F26" s="12" t="n"/>
      <c r="G26" s="12" t="n"/>
      <c r="H26" s="42" t="n"/>
      <c r="I26" s="42" t="n"/>
      <c r="J26" s="13">
        <f>IF(OR(H26="",I26=""),"",H26-I26)</f>
        <v/>
      </c>
      <c r="K26" s="14">
        <f>IF(OR(H26="",H26=0),"",I26/H26)</f>
        <v/>
      </c>
      <c r="L26" s="13">
        <f>IF(OR(I26="",E26="",E26=0),"",I26/E26)</f>
        <v/>
      </c>
      <c r="M26" s="13">
        <f>IF(OR(L26="",F26="",F26=0),"",L26/F26)</f>
        <v/>
      </c>
      <c r="N26" s="12" t="n"/>
      <c r="O26" s="12" t="n"/>
    </row>
    <row r="27">
      <c r="A27" s="12" t="n"/>
      <c r="B27" s="12" t="n"/>
      <c r="C27" s="41" t="n"/>
      <c r="D27" s="41" t="n"/>
      <c r="E27" s="38">
        <f>IF(OR(C27="",D27=""),"",D27-C27+1)</f>
        <v/>
      </c>
      <c r="F27" s="12" t="n"/>
      <c r="G27" s="12" t="n"/>
      <c r="H27" s="42" t="n"/>
      <c r="I27" s="42" t="n"/>
      <c r="J27" s="13">
        <f>IF(OR(H27="",I27=""),"",H27-I27)</f>
        <v/>
      </c>
      <c r="K27" s="14">
        <f>IF(OR(H27="",H27=0),"",I27/H27)</f>
        <v/>
      </c>
      <c r="L27" s="13">
        <f>IF(OR(I27="",E27="",E27=0),"",I27/E27)</f>
        <v/>
      </c>
      <c r="M27" s="13">
        <f>IF(OR(L27="",F27="",F27=0),"",L27/F27)</f>
        <v/>
      </c>
      <c r="N27" s="12" t="n"/>
      <c r="O27" s="12" t="n"/>
    </row>
    <row r="28">
      <c r="A28" s="12" t="n"/>
      <c r="B28" s="12" t="n"/>
      <c r="C28" s="41" t="n"/>
      <c r="D28" s="41" t="n"/>
      <c r="E28" s="38">
        <f>IF(OR(C28="",D28=""),"",D28-C28+1)</f>
        <v/>
      </c>
      <c r="F28" s="12" t="n"/>
      <c r="G28" s="12" t="n"/>
      <c r="H28" s="42" t="n"/>
      <c r="I28" s="42" t="n"/>
      <c r="J28" s="13">
        <f>IF(OR(H28="",I28=""),"",H28-I28)</f>
        <v/>
      </c>
      <c r="K28" s="14">
        <f>IF(OR(H28="",H28=0),"",I28/H28)</f>
        <v/>
      </c>
      <c r="L28" s="13">
        <f>IF(OR(I28="",E28="",E28=0),"",I28/E28)</f>
        <v/>
      </c>
      <c r="M28" s="13">
        <f>IF(OR(L28="",F28="",F28=0),"",L28/F28)</f>
        <v/>
      </c>
      <c r="N28" s="12" t="n"/>
      <c r="O28" s="12" t="n"/>
    </row>
    <row r="29">
      <c r="A29" s="12" t="n"/>
      <c r="B29" s="12" t="n"/>
      <c r="C29" s="41" t="n"/>
      <c r="D29" s="41" t="n"/>
      <c r="E29" s="38">
        <f>IF(OR(C29="",D29=""),"",D29-C29+1)</f>
        <v/>
      </c>
      <c r="F29" s="12" t="n"/>
      <c r="G29" s="12" t="n"/>
      <c r="H29" s="42" t="n"/>
      <c r="I29" s="42" t="n"/>
      <c r="J29" s="13">
        <f>IF(OR(H29="",I29=""),"",H29-I29)</f>
        <v/>
      </c>
      <c r="K29" s="14">
        <f>IF(OR(H29="",H29=0),"",I29/H29)</f>
        <v/>
      </c>
      <c r="L29" s="13">
        <f>IF(OR(I29="",E29="",E29=0),"",I29/E29)</f>
        <v/>
      </c>
      <c r="M29" s="13">
        <f>IF(OR(L29="",F29="",F29=0),"",L29/F29)</f>
        <v/>
      </c>
      <c r="N29" s="12" t="n"/>
      <c r="O29" s="12" t="n"/>
    </row>
    <row r="30">
      <c r="A30" s="12" t="n"/>
      <c r="B30" s="12" t="n"/>
      <c r="C30" s="41" t="n"/>
      <c r="D30" s="41" t="n"/>
      <c r="E30" s="38">
        <f>IF(OR(C30="",D30=""),"",D30-C30+1)</f>
        <v/>
      </c>
      <c r="F30" s="12" t="n"/>
      <c r="G30" s="12" t="n"/>
      <c r="H30" s="42" t="n"/>
      <c r="I30" s="42" t="n"/>
      <c r="J30" s="13">
        <f>IF(OR(H30="",I30=""),"",H30-I30)</f>
        <v/>
      </c>
      <c r="K30" s="14">
        <f>IF(OR(H30="",H30=0),"",I30/H30)</f>
        <v/>
      </c>
      <c r="L30" s="13">
        <f>IF(OR(I30="",E30="",E30=0),"",I30/E30)</f>
        <v/>
      </c>
      <c r="M30" s="13">
        <f>IF(OR(L30="",F30="",F30=0),"",L30/F30)</f>
        <v/>
      </c>
      <c r="N30" s="12" t="n"/>
      <c r="O30" s="12" t="n"/>
    </row>
    <row r="31">
      <c r="A31" s="12" t="n"/>
      <c r="B31" s="12" t="n"/>
      <c r="C31" s="41" t="n"/>
      <c r="D31" s="41" t="n"/>
      <c r="E31" s="38">
        <f>IF(OR(C31="",D31=""),"",D31-C31+1)</f>
        <v/>
      </c>
      <c r="F31" s="12" t="n"/>
      <c r="G31" s="12" t="n"/>
      <c r="H31" s="42" t="n"/>
      <c r="I31" s="42" t="n"/>
      <c r="J31" s="13">
        <f>IF(OR(H31="",I31=""),"",H31-I31)</f>
        <v/>
      </c>
      <c r="K31" s="14">
        <f>IF(OR(H31="",H31=0),"",I31/H31)</f>
        <v/>
      </c>
      <c r="L31" s="13">
        <f>IF(OR(I31="",E31="",E31=0),"",I31/E31)</f>
        <v/>
      </c>
      <c r="M31" s="13">
        <f>IF(OR(L31="",F31="",F31=0),"",L31/F31)</f>
        <v/>
      </c>
      <c r="N31" s="12" t="n"/>
      <c r="O31" s="12" t="n"/>
    </row>
    <row r="32">
      <c r="A32" s="12" t="n"/>
      <c r="B32" s="12" t="n"/>
      <c r="C32" s="41" t="n"/>
      <c r="D32" s="41" t="n"/>
      <c r="E32" s="38">
        <f>IF(OR(C32="",D32=""),"",D32-C32+1)</f>
        <v/>
      </c>
      <c r="F32" s="12" t="n"/>
      <c r="G32" s="12" t="n"/>
      <c r="H32" s="42" t="n"/>
      <c r="I32" s="42" t="n"/>
      <c r="J32" s="13">
        <f>IF(OR(H32="",I32=""),"",H32-I32)</f>
        <v/>
      </c>
      <c r="K32" s="14">
        <f>IF(OR(H32="",H32=0),"",I32/H32)</f>
        <v/>
      </c>
      <c r="L32" s="13">
        <f>IF(OR(I32="",E32="",E32=0),"",I32/E32)</f>
        <v/>
      </c>
      <c r="M32" s="13">
        <f>IF(OR(L32="",F32="",F32=0),"",L32/F32)</f>
        <v/>
      </c>
      <c r="N32" s="12" t="n"/>
      <c r="O32" s="12" t="n"/>
    </row>
    <row r="33">
      <c r="A33" s="12" t="n"/>
      <c r="B33" s="12" t="n"/>
      <c r="C33" s="41" t="n"/>
      <c r="D33" s="41" t="n"/>
      <c r="E33" s="38">
        <f>IF(OR(C33="",D33=""),"",D33-C33+1)</f>
        <v/>
      </c>
      <c r="F33" s="12" t="n"/>
      <c r="G33" s="12" t="n"/>
      <c r="H33" s="42" t="n"/>
      <c r="I33" s="42" t="n"/>
      <c r="J33" s="13">
        <f>IF(OR(H33="",I33=""),"",H33-I33)</f>
        <v/>
      </c>
      <c r="K33" s="14">
        <f>IF(OR(H33="",H33=0),"",I33/H33)</f>
        <v/>
      </c>
      <c r="L33" s="13">
        <f>IF(OR(I33="",E33="",E33=0),"",I33/E33)</f>
        <v/>
      </c>
      <c r="M33" s="13">
        <f>IF(OR(L33="",F33="",F33=0),"",L33/F33)</f>
        <v/>
      </c>
      <c r="N33" s="12" t="n"/>
      <c r="O33" s="12" t="n"/>
    </row>
    <row r="35">
      <c r="A35" s="43" t="inlineStr">
        <is>
          <t>MÉDIA HISTÓRICA</t>
        </is>
      </c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5">
        <f>IFERROR(AVERAGE(L4:L33),"")</f>
        <v/>
      </c>
      <c r="M35" s="45">
        <f>IFERROR(AVERAGE(M4:M33),"")</f>
        <v/>
      </c>
      <c r="N35" s="44" t="n"/>
      <c r="O35" s="44" t="n"/>
    </row>
  </sheetData>
  <mergeCells count="1">
    <mergeCell ref="A1:O1"/>
  </mergeCells>
  <conditionalFormatting sqref="K4:K33">
    <cfRule type="cellIs" priority="1" operator="greaterThan" dxfId="3">
      <formula>1</formula>
    </cfRule>
    <cfRule type="cellIs" priority="2" operator="lessThanOrEqual" dxfId="0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2026-08-08T16:02:54Z</dcterms:created>
  <dcterms:modified xsi:type="dcterms:W3CDTF">2026-08-08T16:02:54Z</dcterms:modified>
</cp:coreProperties>
</file>